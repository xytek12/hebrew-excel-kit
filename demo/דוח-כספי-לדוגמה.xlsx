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gal\Documents\claude code\just random stuff\hebrew-excel-kit\demo\"/>
    </mc:Choice>
  </mc:AlternateContent>
  <xr:revisionPtr revIDLastSave="0" documentId="13_ncr:1_{E769029F-6EC4-4C67-9354-EB690AD0140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ניתוח Pivot" sheetId="10" r:id="rId1"/>
    <sheet name="לוח בקרה" sheetId="1" r:id="rId2"/>
    <sheet name="חיפוש מהיר" sheetId="2" r:id="rId3"/>
    <sheet name="הנחות ופרמטרים" sheetId="3" r:id="rId4"/>
    <sheet name="מלאי לפי חנות" sheetId="4" r:id="rId5"/>
    <sheet name="סיכום חנויות" sheetId="5" r:id="rId6"/>
    <sheet name="הכנסות" sheetId="6" r:id="rId7"/>
    <sheet name="הוצאות" sheetId="7" r:id="rId8"/>
    <sheet name="רווח והפסד" sheetId="8" r:id="rId9"/>
    <sheet name="תזרים מזומנים" sheetId="9" r:id="rId10"/>
  </sheets>
  <calcPr calcId="191029"/>
  <pivotCaches>
    <pivotCache cacheId="6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7" l="1"/>
  <c r="M10" i="8" s="1"/>
  <c r="L14" i="7"/>
  <c r="L10" i="8" s="1"/>
  <c r="K14" i="7"/>
  <c r="J14" i="7"/>
  <c r="I14" i="7"/>
  <c r="I10" i="8" s="1"/>
  <c r="H14" i="7"/>
  <c r="H10" i="8" s="1"/>
  <c r="G14" i="7"/>
  <c r="F14" i="7"/>
  <c r="E14" i="7"/>
  <c r="E10" i="8" s="1"/>
  <c r="D14" i="7"/>
  <c r="D10" i="8" s="1"/>
  <c r="C14" i="7"/>
  <c r="B14" i="7"/>
  <c r="N13" i="7"/>
  <c r="N12" i="7"/>
  <c r="N11" i="7"/>
  <c r="N10" i="7"/>
  <c r="N9" i="7"/>
  <c r="N8" i="7"/>
  <c r="N7" i="7"/>
  <c r="N6" i="7"/>
  <c r="N14" i="7" s="1"/>
  <c r="N5" i="7"/>
  <c r="O76" i="4"/>
  <c r="M76" i="4"/>
  <c r="L76" i="4"/>
  <c r="I76" i="4"/>
  <c r="H76" i="4"/>
  <c r="N76" i="4" s="1"/>
  <c r="O75" i="4"/>
  <c r="M75" i="4"/>
  <c r="L75" i="4"/>
  <c r="H75" i="4"/>
  <c r="I75" i="4" s="1"/>
  <c r="O74" i="4"/>
  <c r="M74" i="4"/>
  <c r="L74" i="4"/>
  <c r="H74" i="4"/>
  <c r="I74" i="4" s="1"/>
  <c r="O73" i="4"/>
  <c r="M73" i="4"/>
  <c r="L73" i="4"/>
  <c r="H73" i="4"/>
  <c r="I73" i="4" s="1"/>
  <c r="O72" i="4"/>
  <c r="M72" i="4"/>
  <c r="L72" i="4"/>
  <c r="H72" i="4"/>
  <c r="I72" i="4" s="1"/>
  <c r="O71" i="4"/>
  <c r="M71" i="4"/>
  <c r="L71" i="4"/>
  <c r="H71" i="4"/>
  <c r="O70" i="4"/>
  <c r="M70" i="4"/>
  <c r="L70" i="4"/>
  <c r="H70" i="4"/>
  <c r="N70" i="4" s="1"/>
  <c r="O69" i="4"/>
  <c r="N69" i="4"/>
  <c r="M69" i="4"/>
  <c r="L69" i="4"/>
  <c r="H69" i="4"/>
  <c r="I69" i="4" s="1"/>
  <c r="O68" i="4"/>
  <c r="M68" i="4"/>
  <c r="L68" i="4"/>
  <c r="H68" i="4"/>
  <c r="N68" i="4" s="1"/>
  <c r="O67" i="4"/>
  <c r="M67" i="4"/>
  <c r="L67" i="4"/>
  <c r="H67" i="4"/>
  <c r="I67" i="4" s="1"/>
  <c r="O66" i="4"/>
  <c r="M66" i="4"/>
  <c r="L66" i="4"/>
  <c r="H66" i="4"/>
  <c r="I66" i="4" s="1"/>
  <c r="O65" i="4"/>
  <c r="M65" i="4"/>
  <c r="C10" i="5" s="1"/>
  <c r="L65" i="4"/>
  <c r="H65" i="4"/>
  <c r="N65" i="4" s="1"/>
  <c r="O64" i="4"/>
  <c r="M64" i="4"/>
  <c r="L64" i="4"/>
  <c r="H64" i="4"/>
  <c r="I64" i="4" s="1"/>
  <c r="O63" i="4"/>
  <c r="M63" i="4"/>
  <c r="L63" i="4"/>
  <c r="H63" i="4"/>
  <c r="O62" i="4"/>
  <c r="M62" i="4"/>
  <c r="L62" i="4"/>
  <c r="I62" i="4"/>
  <c r="H62" i="4"/>
  <c r="N62" i="4" s="1"/>
  <c r="O61" i="4"/>
  <c r="M61" i="4"/>
  <c r="L61" i="4"/>
  <c r="H61" i="4"/>
  <c r="I61" i="4" s="1"/>
  <c r="O60" i="4"/>
  <c r="M60" i="4"/>
  <c r="L60" i="4"/>
  <c r="H60" i="4"/>
  <c r="N60" i="4" s="1"/>
  <c r="O59" i="4"/>
  <c r="M59" i="4"/>
  <c r="L59" i="4"/>
  <c r="H59" i="4"/>
  <c r="I59" i="4" s="1"/>
  <c r="O58" i="4"/>
  <c r="N58" i="4"/>
  <c r="M58" i="4"/>
  <c r="L58" i="4"/>
  <c r="H58" i="4"/>
  <c r="I58" i="4" s="1"/>
  <c r="O57" i="4"/>
  <c r="M57" i="4"/>
  <c r="L57" i="4"/>
  <c r="H57" i="4"/>
  <c r="I57" i="4" s="1"/>
  <c r="O56" i="4"/>
  <c r="M56" i="4"/>
  <c r="L56" i="4"/>
  <c r="H56" i="4"/>
  <c r="I56" i="4" s="1"/>
  <c r="O55" i="4"/>
  <c r="M55" i="4"/>
  <c r="L55" i="4"/>
  <c r="H55" i="4"/>
  <c r="N55" i="4" s="1"/>
  <c r="O54" i="4"/>
  <c r="M54" i="4"/>
  <c r="L54" i="4"/>
  <c r="H54" i="4"/>
  <c r="I54" i="4" s="1"/>
  <c r="O53" i="4"/>
  <c r="M53" i="4"/>
  <c r="L53" i="4"/>
  <c r="B9" i="5" s="1"/>
  <c r="H53" i="4"/>
  <c r="N53" i="4" s="1"/>
  <c r="O52" i="4"/>
  <c r="M52" i="4"/>
  <c r="L52" i="4"/>
  <c r="H52" i="4"/>
  <c r="I52" i="4" s="1"/>
  <c r="O51" i="4"/>
  <c r="M51" i="4"/>
  <c r="L51" i="4"/>
  <c r="H51" i="4"/>
  <c r="N51" i="4" s="1"/>
  <c r="O50" i="4"/>
  <c r="M50" i="4"/>
  <c r="L50" i="4"/>
  <c r="H50" i="4"/>
  <c r="I50" i="4" s="1"/>
  <c r="O49" i="4"/>
  <c r="M49" i="4"/>
  <c r="L49" i="4"/>
  <c r="I49" i="4"/>
  <c r="H49" i="4"/>
  <c r="N49" i="4" s="1"/>
  <c r="O48" i="4"/>
  <c r="M48" i="4"/>
  <c r="L48" i="4"/>
  <c r="H48" i="4"/>
  <c r="I48" i="4" s="1"/>
  <c r="O47" i="4"/>
  <c r="M47" i="4"/>
  <c r="L47" i="4"/>
  <c r="H47" i="4"/>
  <c r="N47" i="4" s="1"/>
  <c r="O46" i="4"/>
  <c r="M46" i="4"/>
  <c r="L46" i="4"/>
  <c r="H46" i="4"/>
  <c r="I46" i="4" s="1"/>
  <c r="O45" i="4"/>
  <c r="M45" i="4"/>
  <c r="L45" i="4"/>
  <c r="H45" i="4"/>
  <c r="N45" i="4" s="1"/>
  <c r="O44" i="4"/>
  <c r="M44" i="4"/>
  <c r="L44" i="4"/>
  <c r="H44" i="4"/>
  <c r="I44" i="4" s="1"/>
  <c r="O43" i="4"/>
  <c r="M43" i="4"/>
  <c r="L43" i="4"/>
  <c r="H43" i="4"/>
  <c r="N43" i="4" s="1"/>
  <c r="O42" i="4"/>
  <c r="M42" i="4"/>
  <c r="L42" i="4"/>
  <c r="H42" i="4"/>
  <c r="I42" i="4" s="1"/>
  <c r="O41" i="4"/>
  <c r="M41" i="4"/>
  <c r="L41" i="4"/>
  <c r="I41" i="4"/>
  <c r="H41" i="4"/>
  <c r="O40" i="4"/>
  <c r="M40" i="4"/>
  <c r="L40" i="4"/>
  <c r="H40" i="4"/>
  <c r="I40" i="4" s="1"/>
  <c r="O39" i="4"/>
  <c r="M39" i="4"/>
  <c r="L39" i="4"/>
  <c r="H39" i="4"/>
  <c r="N39" i="4" s="1"/>
  <c r="O38" i="4"/>
  <c r="M38" i="4"/>
  <c r="L38" i="4"/>
  <c r="H38" i="4"/>
  <c r="I38" i="4" s="1"/>
  <c r="O37" i="4"/>
  <c r="M37" i="4"/>
  <c r="L37" i="4"/>
  <c r="H37" i="4"/>
  <c r="N37" i="4" s="1"/>
  <c r="O36" i="4"/>
  <c r="M36" i="4"/>
  <c r="L36" i="4"/>
  <c r="H36" i="4"/>
  <c r="I36" i="4" s="1"/>
  <c r="O35" i="4"/>
  <c r="M35" i="4"/>
  <c r="L35" i="4"/>
  <c r="H35" i="4"/>
  <c r="N35" i="4" s="1"/>
  <c r="O34" i="4"/>
  <c r="M34" i="4"/>
  <c r="L34" i="4"/>
  <c r="H34" i="4"/>
  <c r="I34" i="4" s="1"/>
  <c r="O33" i="4"/>
  <c r="M33" i="4"/>
  <c r="L33" i="4"/>
  <c r="I33" i="4"/>
  <c r="H33" i="4"/>
  <c r="N33" i="4" s="1"/>
  <c r="O32" i="4"/>
  <c r="M32" i="4"/>
  <c r="L32" i="4"/>
  <c r="H32" i="4"/>
  <c r="I32" i="4" s="1"/>
  <c r="O31" i="4"/>
  <c r="M31" i="4"/>
  <c r="L31" i="4"/>
  <c r="H31" i="4"/>
  <c r="N31" i="4" s="1"/>
  <c r="O30" i="4"/>
  <c r="M30" i="4"/>
  <c r="L30" i="4"/>
  <c r="H30" i="4"/>
  <c r="I30" i="4" s="1"/>
  <c r="O29" i="4"/>
  <c r="M29" i="4"/>
  <c r="L29" i="4"/>
  <c r="H29" i="4"/>
  <c r="I29" i="4" s="1"/>
  <c r="O28" i="4"/>
  <c r="M28" i="4"/>
  <c r="L28" i="4"/>
  <c r="H28" i="4"/>
  <c r="I28" i="4" s="1"/>
  <c r="O27" i="4"/>
  <c r="M27" i="4"/>
  <c r="L27" i="4"/>
  <c r="H27" i="4"/>
  <c r="N27" i="4" s="1"/>
  <c r="O26" i="4"/>
  <c r="M26" i="4"/>
  <c r="L26" i="4"/>
  <c r="H26" i="4"/>
  <c r="I26" i="4" s="1"/>
  <c r="O25" i="4"/>
  <c r="M25" i="4"/>
  <c r="L25" i="4"/>
  <c r="H25" i="4"/>
  <c r="N25" i="4" s="1"/>
  <c r="O24" i="4"/>
  <c r="M24" i="4"/>
  <c r="L24" i="4"/>
  <c r="H24" i="4"/>
  <c r="I24" i="4" s="1"/>
  <c r="O23" i="4"/>
  <c r="M23" i="4"/>
  <c r="L23" i="4"/>
  <c r="H23" i="4"/>
  <c r="N23" i="4" s="1"/>
  <c r="O22" i="4"/>
  <c r="M22" i="4"/>
  <c r="L22" i="4"/>
  <c r="H22" i="4"/>
  <c r="I22" i="4" s="1"/>
  <c r="O21" i="4"/>
  <c r="M21" i="4"/>
  <c r="L21" i="4"/>
  <c r="H21" i="4"/>
  <c r="N21" i="4" s="1"/>
  <c r="O20" i="4"/>
  <c r="M20" i="4"/>
  <c r="L20" i="4"/>
  <c r="H20" i="4"/>
  <c r="I20" i="4" s="1"/>
  <c r="O19" i="4"/>
  <c r="M19" i="4"/>
  <c r="L19" i="4"/>
  <c r="H19" i="4"/>
  <c r="N19" i="4" s="1"/>
  <c r="O18" i="4"/>
  <c r="M18" i="4"/>
  <c r="L18" i="4"/>
  <c r="H18" i="4"/>
  <c r="I18" i="4" s="1"/>
  <c r="O17" i="4"/>
  <c r="M17" i="4"/>
  <c r="L17" i="4"/>
  <c r="I17" i="4"/>
  <c r="H17" i="4"/>
  <c r="O16" i="4"/>
  <c r="M16" i="4"/>
  <c r="L16" i="4"/>
  <c r="H16" i="4"/>
  <c r="I16" i="4" s="1"/>
  <c r="O15" i="4"/>
  <c r="M15" i="4"/>
  <c r="L15" i="4"/>
  <c r="H15" i="4"/>
  <c r="N15" i="4" s="1"/>
  <c r="O14" i="4"/>
  <c r="M14" i="4"/>
  <c r="L14" i="4"/>
  <c r="H14" i="4"/>
  <c r="I14" i="4" s="1"/>
  <c r="O13" i="4"/>
  <c r="M13" i="4"/>
  <c r="L13" i="4"/>
  <c r="H13" i="4"/>
  <c r="N13" i="4" s="1"/>
  <c r="O12" i="4"/>
  <c r="M12" i="4"/>
  <c r="L12" i="4"/>
  <c r="H12" i="4"/>
  <c r="I12" i="4" s="1"/>
  <c r="O11" i="4"/>
  <c r="M11" i="4"/>
  <c r="L11" i="4"/>
  <c r="H11" i="4"/>
  <c r="N11" i="4" s="1"/>
  <c r="O10" i="4"/>
  <c r="M10" i="4"/>
  <c r="L10" i="4"/>
  <c r="H10" i="4"/>
  <c r="O9" i="4"/>
  <c r="M9" i="4"/>
  <c r="L9" i="4"/>
  <c r="H9" i="4"/>
  <c r="N9" i="4" s="1"/>
  <c r="O8" i="4"/>
  <c r="M8" i="4"/>
  <c r="L8" i="4"/>
  <c r="H8" i="4"/>
  <c r="I8" i="4" s="1"/>
  <c r="O7" i="4"/>
  <c r="M7" i="4"/>
  <c r="L7" i="4"/>
  <c r="H7" i="4"/>
  <c r="N7" i="4" s="1"/>
  <c r="O6" i="4"/>
  <c r="M6" i="4"/>
  <c r="L6" i="4"/>
  <c r="H6" i="4"/>
  <c r="I6" i="4" s="1"/>
  <c r="O5" i="4"/>
  <c r="M5" i="4"/>
  <c r="L5" i="4"/>
  <c r="H5" i="4"/>
  <c r="N5" i="4" s="1"/>
  <c r="B25" i="2"/>
  <c r="B24" i="2"/>
  <c r="B23" i="2"/>
  <c r="B22" i="2"/>
  <c r="B21" i="2"/>
  <c r="B20" i="2"/>
  <c r="B19" i="2"/>
  <c r="B13" i="2"/>
  <c r="B12" i="2"/>
  <c r="B11" i="2"/>
  <c r="B10" i="2"/>
  <c r="B9" i="2"/>
  <c r="B8" i="2"/>
  <c r="I9" i="4" l="1"/>
  <c r="C6" i="5"/>
  <c r="I25" i="4"/>
  <c r="N6" i="4"/>
  <c r="I13" i="4"/>
  <c r="I45" i="4"/>
  <c r="I60" i="4"/>
  <c r="N67" i="4"/>
  <c r="B5" i="5"/>
  <c r="I21" i="4"/>
  <c r="I37" i="4"/>
  <c r="I53" i="4"/>
  <c r="N74" i="4"/>
  <c r="I7" i="4"/>
  <c r="I15" i="4"/>
  <c r="I23" i="4"/>
  <c r="I31" i="4"/>
  <c r="D7" i="5" s="1"/>
  <c r="I39" i="4"/>
  <c r="I47" i="4"/>
  <c r="I55" i="4"/>
  <c r="N59" i="4"/>
  <c r="N66" i="4"/>
  <c r="I68" i="4"/>
  <c r="I5" i="4"/>
  <c r="I11" i="4"/>
  <c r="D5" i="5" s="1"/>
  <c r="I19" i="4"/>
  <c r="I27" i="4"/>
  <c r="I35" i="4"/>
  <c r="I43" i="4"/>
  <c r="D8" i="5" s="1"/>
  <c r="I51" i="4"/>
  <c r="N61" i="4"/>
  <c r="I70" i="4"/>
  <c r="N75" i="4"/>
  <c r="E5" i="5"/>
  <c r="I10" i="4"/>
  <c r="N10" i="4"/>
  <c r="E6" i="5"/>
  <c r="D6" i="5"/>
  <c r="I63" i="4"/>
  <c r="N63" i="4"/>
  <c r="E7" i="5"/>
  <c r="B5" i="6"/>
  <c r="N8" i="4"/>
  <c r="B10" i="6"/>
  <c r="B10" i="5"/>
  <c r="I71" i="4"/>
  <c r="N71" i="4"/>
  <c r="B9" i="6"/>
  <c r="N54" i="4"/>
  <c r="N56" i="4"/>
  <c r="N64" i="4"/>
  <c r="N72" i="4"/>
  <c r="F9" i="5"/>
  <c r="N12" i="4"/>
  <c r="N14" i="4"/>
  <c r="N16" i="4"/>
  <c r="B6" i="6"/>
  <c r="B6" i="5"/>
  <c r="N18" i="4"/>
  <c r="N20" i="4"/>
  <c r="N22" i="4"/>
  <c r="N24" i="4"/>
  <c r="N26" i="4"/>
  <c r="N28" i="4"/>
  <c r="B7" i="5"/>
  <c r="H5" i="5" s="1"/>
  <c r="B7" i="6"/>
  <c r="N30" i="4"/>
  <c r="N32" i="4"/>
  <c r="N34" i="4"/>
  <c r="N36" i="4"/>
  <c r="N38" i="4"/>
  <c r="N40" i="4"/>
  <c r="B8" i="6"/>
  <c r="B8" i="5"/>
  <c r="N42" i="4"/>
  <c r="N44" i="4"/>
  <c r="N46" i="4"/>
  <c r="N48" i="4"/>
  <c r="N50" i="4"/>
  <c r="N52" i="4"/>
  <c r="C5" i="5"/>
  <c r="G5" i="5" s="1"/>
  <c r="C7" i="5"/>
  <c r="C8" i="5"/>
  <c r="C9" i="5"/>
  <c r="G9" i="5" s="1"/>
  <c r="N57" i="4"/>
  <c r="N73" i="4"/>
  <c r="F5" i="5"/>
  <c r="F6" i="5"/>
  <c r="N17" i="4"/>
  <c r="F7" i="5"/>
  <c r="N29" i="4"/>
  <c r="F8" i="5"/>
  <c r="N41" i="4"/>
  <c r="F10" i="5"/>
  <c r="I65" i="4"/>
  <c r="B10" i="8"/>
  <c r="F10" i="8"/>
  <c r="J10" i="8"/>
  <c r="C10" i="8"/>
  <c r="G10" i="8"/>
  <c r="K10" i="8"/>
  <c r="H9" i="5" l="1"/>
  <c r="E8" i="5"/>
  <c r="A19" i="1"/>
  <c r="A20" i="1"/>
  <c r="F33" i="1"/>
  <c r="C32" i="1"/>
  <c r="F30" i="1"/>
  <c r="A30" i="1"/>
  <c r="D28" i="1"/>
  <c r="G26" i="1"/>
  <c r="D25" i="1"/>
  <c r="E34" i="1"/>
  <c r="A33" i="1"/>
  <c r="D31" i="1"/>
  <c r="B29" i="1"/>
  <c r="F27" i="1"/>
  <c r="B26" i="1"/>
  <c r="C34" i="1"/>
  <c r="E33" i="1"/>
  <c r="G32" i="1"/>
  <c r="A32" i="1"/>
  <c r="C31" i="1"/>
  <c r="E30" i="1"/>
  <c r="F29" i="1"/>
  <c r="A29" i="1"/>
  <c r="C28" i="1"/>
  <c r="D27" i="1"/>
  <c r="F26" i="1"/>
  <c r="A26" i="1"/>
  <c r="B25" i="1"/>
  <c r="A18" i="1"/>
  <c r="D33" i="1"/>
  <c r="C30" i="1"/>
  <c r="C27" i="1"/>
  <c r="D9" i="5"/>
  <c r="D11" i="5" s="1"/>
  <c r="E10" i="5"/>
  <c r="E11" i="5" s="1"/>
  <c r="D10" i="5"/>
  <c r="D32" i="1"/>
  <c r="D29" i="1"/>
  <c r="C26" i="1"/>
  <c r="D26" i="1"/>
  <c r="F28" i="1"/>
  <c r="A31" i="1"/>
  <c r="C33" i="1"/>
  <c r="E9" i="5"/>
  <c r="B33" i="1"/>
  <c r="B30" i="1"/>
  <c r="B27" i="1"/>
  <c r="G25" i="1"/>
  <c r="B28" i="1"/>
  <c r="D30" i="1"/>
  <c r="F32" i="1"/>
  <c r="H8" i="5"/>
  <c r="G8" i="5"/>
  <c r="M7" i="6"/>
  <c r="I7" i="6"/>
  <c r="E7" i="6"/>
  <c r="L7" i="6"/>
  <c r="H7" i="6"/>
  <c r="D7" i="6"/>
  <c r="K7" i="6"/>
  <c r="G7" i="6"/>
  <c r="C7" i="6"/>
  <c r="J7" i="6"/>
  <c r="F7" i="6"/>
  <c r="H6" i="5"/>
  <c r="G6" i="5"/>
  <c r="H10" i="5"/>
  <c r="G10" i="5"/>
  <c r="G34" i="1"/>
  <c r="G31" i="1"/>
  <c r="G28" i="1"/>
  <c r="F25" i="1"/>
  <c r="F34" i="1"/>
  <c r="F31" i="1"/>
  <c r="E28" i="1"/>
  <c r="E25" i="1"/>
  <c r="A27" i="1"/>
  <c r="C29" i="1"/>
  <c r="E31" i="1"/>
  <c r="G33" i="1"/>
  <c r="A17" i="1"/>
  <c r="B11" i="5"/>
  <c r="A7" i="1" s="1"/>
  <c r="N10" i="8"/>
  <c r="K5" i="6"/>
  <c r="G5" i="6"/>
  <c r="C5" i="6"/>
  <c r="J5" i="6"/>
  <c r="F5" i="6"/>
  <c r="M5" i="6"/>
  <c r="I5" i="6"/>
  <c r="E5" i="6"/>
  <c r="B11" i="6"/>
  <c r="L5" i="6"/>
  <c r="H5" i="6"/>
  <c r="D5" i="6"/>
  <c r="E32" i="1"/>
  <c r="E29" i="1"/>
  <c r="E26" i="1"/>
  <c r="C11" i="5"/>
  <c r="D7" i="1" s="1"/>
  <c r="L8" i="6"/>
  <c r="H8" i="6"/>
  <c r="D8" i="6"/>
  <c r="K8" i="6"/>
  <c r="G8" i="6"/>
  <c r="C8" i="6"/>
  <c r="J8" i="6"/>
  <c r="F8" i="6"/>
  <c r="M8" i="6"/>
  <c r="I8" i="6"/>
  <c r="E8" i="6"/>
  <c r="G7" i="5"/>
  <c r="H7" i="5"/>
  <c r="J6" i="6"/>
  <c r="F6" i="6"/>
  <c r="M6" i="6"/>
  <c r="I6" i="6"/>
  <c r="E6" i="6"/>
  <c r="L6" i="6"/>
  <c r="H6" i="6"/>
  <c r="D6" i="6"/>
  <c r="K6" i="6"/>
  <c r="G6" i="6"/>
  <c r="C6" i="6"/>
  <c r="K9" i="6"/>
  <c r="G9" i="6"/>
  <c r="C9" i="6"/>
  <c r="J9" i="6"/>
  <c r="F9" i="6"/>
  <c r="M9" i="6"/>
  <c r="I9" i="6"/>
  <c r="E9" i="6"/>
  <c r="L9" i="6"/>
  <c r="H9" i="6"/>
  <c r="D9" i="6"/>
  <c r="J10" i="6"/>
  <c r="F10" i="6"/>
  <c r="M10" i="6"/>
  <c r="I10" i="6"/>
  <c r="E10" i="6"/>
  <c r="L10" i="6"/>
  <c r="H10" i="6"/>
  <c r="D10" i="6"/>
  <c r="K10" i="6"/>
  <c r="G10" i="6"/>
  <c r="C10" i="6"/>
  <c r="B34" i="1"/>
  <c r="B31" i="1"/>
  <c r="A28" i="1"/>
  <c r="A25" i="1"/>
  <c r="A34" i="1"/>
  <c r="G30" i="1"/>
  <c r="G27" i="1"/>
  <c r="C25" i="1"/>
  <c r="E27" i="1"/>
  <c r="G29" i="1"/>
  <c r="B32" i="1"/>
  <c r="D34" i="1"/>
  <c r="A16" i="1"/>
  <c r="D11" i="6" l="1"/>
  <c r="N7" i="6"/>
  <c r="N10" i="6"/>
  <c r="N9" i="6"/>
  <c r="N8" i="6"/>
  <c r="N6" i="6"/>
  <c r="G7" i="1"/>
  <c r="B5" i="8"/>
  <c r="C5" i="9"/>
  <c r="F11" i="6"/>
  <c r="G11" i="6"/>
  <c r="D5" i="8"/>
  <c r="C7" i="9"/>
  <c r="E11" i="6"/>
  <c r="J11" i="6"/>
  <c r="K11" i="6"/>
  <c r="H11" i="6"/>
  <c r="I11" i="6"/>
  <c r="N5" i="6"/>
  <c r="L11" i="6"/>
  <c r="M11" i="6"/>
  <c r="C11" i="6"/>
  <c r="N11" i="6" l="1"/>
  <c r="J5" i="8"/>
  <c r="C13" i="9"/>
  <c r="C10" i="9"/>
  <c r="G5" i="8"/>
  <c r="C6" i="9"/>
  <c r="C5" i="8"/>
  <c r="I5" i="8"/>
  <c r="C12" i="9"/>
  <c r="E5" i="8"/>
  <c r="C8" i="9"/>
  <c r="F5" i="8"/>
  <c r="C9" i="9"/>
  <c r="M5" i="8"/>
  <c r="C16" i="9"/>
  <c r="H5" i="8"/>
  <c r="C11" i="9"/>
  <c r="L5" i="8"/>
  <c r="C15" i="9"/>
  <c r="C14" i="9"/>
  <c r="K5" i="8"/>
  <c r="D6" i="8"/>
  <c r="D7" i="8" s="1"/>
  <c r="B6" i="8"/>
  <c r="D8" i="8" l="1"/>
  <c r="D9" i="8" s="1"/>
  <c r="D7" i="9"/>
  <c r="E7" i="9" s="1"/>
  <c r="G6" i="8"/>
  <c r="G7" i="8" s="1"/>
  <c r="L6" i="8"/>
  <c r="L7" i="8" s="1"/>
  <c r="H6" i="8"/>
  <c r="H7" i="8" s="1"/>
  <c r="F7" i="8"/>
  <c r="F6" i="8"/>
  <c r="I6" i="8"/>
  <c r="I7" i="8" s="1"/>
  <c r="B7" i="8"/>
  <c r="K6" i="8"/>
  <c r="K7" i="8" s="1"/>
  <c r="C6" i="8"/>
  <c r="C7" i="8" s="1"/>
  <c r="N5" i="8"/>
  <c r="M6" i="8"/>
  <c r="M7" i="8" s="1"/>
  <c r="E6" i="8"/>
  <c r="E7" i="8" s="1"/>
  <c r="J6" i="8"/>
  <c r="J7" i="8" s="1"/>
  <c r="C8" i="8" l="1"/>
  <c r="C9" i="8" s="1"/>
  <c r="D6" i="9"/>
  <c r="E6" i="9" s="1"/>
  <c r="G8" i="8"/>
  <c r="G9" i="8" s="1"/>
  <c r="D10" i="9"/>
  <c r="E10" i="9" s="1"/>
  <c r="J8" i="8"/>
  <c r="J9" i="8" s="1"/>
  <c r="D13" i="9"/>
  <c r="E13" i="9" s="1"/>
  <c r="H8" i="8"/>
  <c r="H9" i="8" s="1"/>
  <c r="D11" i="9"/>
  <c r="E11" i="9" s="1"/>
  <c r="E8" i="8"/>
  <c r="E9" i="8" s="1"/>
  <c r="D8" i="9"/>
  <c r="E8" i="9" s="1"/>
  <c r="K8" i="8"/>
  <c r="K9" i="8" s="1"/>
  <c r="D14" i="9"/>
  <c r="E14" i="9" s="1"/>
  <c r="N6" i="8"/>
  <c r="M8" i="8"/>
  <c r="M9" i="8" s="1"/>
  <c r="D16" i="9"/>
  <c r="E16" i="9" s="1"/>
  <c r="B8" i="8"/>
  <c r="N7" i="8"/>
  <c r="D5" i="9"/>
  <c r="E5" i="9" s="1"/>
  <c r="F5" i="9" s="1"/>
  <c r="I8" i="8"/>
  <c r="I9" i="8" s="1"/>
  <c r="D12" i="9"/>
  <c r="E12" i="9" s="1"/>
  <c r="F8" i="8"/>
  <c r="F9" i="8" s="1"/>
  <c r="D9" i="9"/>
  <c r="E9" i="9" s="1"/>
  <c r="L8" i="8"/>
  <c r="L9" i="8" s="1"/>
  <c r="D15" i="9"/>
  <c r="E15" i="9" s="1"/>
  <c r="D11" i="8"/>
  <c r="D15" i="8" s="1"/>
  <c r="D14" i="8"/>
  <c r="I14" i="8" l="1"/>
  <c r="I11" i="8"/>
  <c r="I15" i="8" s="1"/>
  <c r="J14" i="8"/>
  <c r="J11" i="8"/>
  <c r="J15" i="8" s="1"/>
  <c r="C14" i="8"/>
  <c r="C11" i="8"/>
  <c r="C15" i="8" s="1"/>
  <c r="K14" i="8"/>
  <c r="K11" i="8"/>
  <c r="K15" i="8" s="1"/>
  <c r="F14" i="8"/>
  <c r="F11" i="8"/>
  <c r="F15" i="8" s="1"/>
  <c r="H11" i="8"/>
  <c r="H15" i="8" s="1"/>
  <c r="H14" i="8"/>
  <c r="G14" i="8"/>
  <c r="G11" i="8"/>
  <c r="G15" i="8" s="1"/>
  <c r="N8" i="8"/>
  <c r="F6" i="9"/>
  <c r="F7" i="9" s="1"/>
  <c r="F8" i="9" s="1"/>
  <c r="F9" i="9" s="1"/>
  <c r="F10" i="9" s="1"/>
  <c r="F11" i="9" s="1"/>
  <c r="F12" i="9" s="1"/>
  <c r="F13" i="9" s="1"/>
  <c r="F14" i="9" s="1"/>
  <c r="F15" i="9" s="1"/>
  <c r="F16" i="9" s="1"/>
  <c r="G11" i="1" s="1"/>
  <c r="M14" i="8"/>
  <c r="M11" i="8"/>
  <c r="M15" i="8" s="1"/>
  <c r="B9" i="8"/>
  <c r="L11" i="8"/>
  <c r="L15" i="8" s="1"/>
  <c r="L14" i="8"/>
  <c r="E14" i="8"/>
  <c r="E11" i="8"/>
  <c r="E15" i="8" s="1"/>
  <c r="N9" i="8" l="1"/>
  <c r="B14" i="8"/>
  <c r="B11" i="8"/>
  <c r="N14" i="8" l="1"/>
  <c r="D11" i="1"/>
  <c r="B15" i="8"/>
  <c r="N11" i="8"/>
  <c r="N15" i="8" l="1"/>
  <c r="A21" i="1"/>
  <c r="A11" i="1"/>
</calcChain>
</file>

<file path=xl/sharedStrings.xml><?xml version="1.0" encoding="utf-8"?>
<sst xmlns="http://schemas.openxmlformats.org/spreadsheetml/2006/main" count="637" uniqueCount="186">
  <si>
    <t>אופנת גלים בע״מ — לוח בקרה 2026</t>
  </si>
  <si>
    <t>נתוני דמה. כל המספרים מתעדכנים אוטומטית מהגיליונות האחרים.</t>
  </si>
  <si>
    <t>המספרים החשובים</t>
  </si>
  <si>
    <t>מכירות בחודש</t>
  </si>
  <si>
    <t>שווי המלאי</t>
  </si>
  <si>
    <t>פריטים בהתראה</t>
  </si>
  <si>
    <t>כל 6 החנויות יחד</t>
  </si>
  <si>
    <t>לפי מחיר עלות</t>
  </si>
  <si>
    <t>אזלו או קריטיים</t>
  </si>
  <si>
    <t>רווח תפעולי שנתי</t>
  </si>
  <si>
    <t>שיעור רווח גולמי</t>
  </si>
  <si>
    <t>מזומן בסוף השנה</t>
  </si>
  <si>
    <t>אחרי כל ההוצאות</t>
  </si>
  <si>
    <t>מה נשאר אחרי עלות הסחורה</t>
  </si>
  <si>
    <t>יתרה צפויה בקופה</t>
  </si>
  <si>
    <t>מה חשוב לדעת</t>
  </si>
  <si>
    <t>התראות מלאי — 10 הפריטים הדחופים ביותר</t>
  </si>
  <si>
    <t>חנות</t>
  </si>
  <si>
    <t>מק״ט</t>
  </si>
  <si>
    <t>פריט</t>
  </si>
  <si>
    <t>מידה</t>
  </si>
  <si>
    <t>מלאי (יח׳)</t>
  </si>
  <si>
    <t>שבועות כיסוי</t>
  </si>
  <si>
    <t>סטטוס</t>
  </si>
  <si>
    <t>חיפוש מהיר</t>
  </si>
  <si>
    <t>TS-1041</t>
  </si>
  <si>
    <t>גרנד קניון חיפה</t>
  </si>
  <si>
    <t>בוחרים חנות או פריט מהרשימה הנפתחת — כל המספרים מתעדכנים מיד.</t>
  </si>
  <si>
    <t>TS-1042</t>
  </si>
  <si>
    <t>קניון הקריון</t>
  </si>
  <si>
    <t>SH-2210</t>
  </si>
  <si>
    <t>חיפה — הדר</t>
  </si>
  <si>
    <t>כרטיס חנות</t>
  </si>
  <si>
    <t>JN-3305</t>
  </si>
  <si>
    <t>עזריאלי תל אביב</t>
  </si>
  <si>
    <t>JN-3307</t>
  </si>
  <si>
    <t>קניון מלחה ירושלים</t>
  </si>
  <si>
    <t>בחרו חנות מהרשימה:</t>
  </si>
  <si>
    <t>DR-4102</t>
  </si>
  <si>
    <t>מחסן אונליין</t>
  </si>
  <si>
    <t>DR-4108</t>
  </si>
  <si>
    <t>מכירות בחודש (₪)</t>
  </si>
  <si>
    <t>JK-5501</t>
  </si>
  <si>
    <t>שווי מלאי (₪)</t>
  </si>
  <si>
    <t>JK-5504</t>
  </si>
  <si>
    <t>פריטים שאזלו</t>
  </si>
  <si>
    <t>AC-6001</t>
  </si>
  <si>
    <t>פריטים קריטיים</t>
  </si>
  <si>
    <t>AC-6014</t>
  </si>
  <si>
    <t>שבועות כיסוי ממוצע</t>
  </si>
  <si>
    <t>SK-7203</t>
  </si>
  <si>
    <t>דירוג מכירות בשרשרת</t>
  </si>
  <si>
    <t>כרטיס פריט בחנות</t>
  </si>
  <si>
    <t>בחרו מק״ט:</t>
  </si>
  <si>
    <t>בחרו חנות:</t>
  </si>
  <si>
    <t>מלאי בחנות (יח׳)</t>
  </si>
  <si>
    <t>מכירות בחודש (יח׳)</t>
  </si>
  <si>
    <t>הנוסחאות כאן הן XLOOKUP — נדרש Excel 2021 ומעלה או Microsoft 365.</t>
  </si>
  <si>
    <t>הנחות ופרמטרים</t>
  </si>
  <si>
    <t>כל המספרים שאפשר לשנות נמצאים כאן. שאר הגיליונות מחושבים מהם אוטומטית.</t>
  </si>
  <si>
    <t>פרמטר</t>
  </si>
  <si>
    <t>ערך</t>
  </si>
  <si>
    <t>יחידה</t>
  </si>
  <si>
    <t>למה זה משפיע</t>
  </si>
  <si>
    <t>שיעור מע״מ</t>
  </si>
  <si>
    <t>אחוז</t>
  </si>
  <si>
    <t>מופחת מההכנסות כדי להגיע להכנסה נטו</t>
  </si>
  <si>
    <t>שיעור עלות המכר</t>
  </si>
  <si>
    <t>כמה עולה לנו הסחורה, כאחוז מההכנסה נטו</t>
  </si>
  <si>
    <t>ימי אשראי לקוחות</t>
  </si>
  <si>
    <t>ימים</t>
  </si>
  <si>
    <t>כמה זמן לוקח לגבות מלקוחות</t>
  </si>
  <si>
    <t>ימי אשראי ספקים</t>
  </si>
  <si>
    <t>כמה זמן יש לנו לשלם לספקים</t>
  </si>
  <si>
    <t>זמן אספקה מספק</t>
  </si>
  <si>
    <t>כמה זמן לוקח לקבל סחורה אחרי הזמנה</t>
  </si>
  <si>
    <t>שבועות כיסוי מינימום</t>
  </si>
  <si>
    <t>שבועות</t>
  </si>
  <si>
    <t>מתחת לזה הפריט מסומן כנמוך</t>
  </si>
  <si>
    <t>יתרת פתיחה במזומן</t>
  </si>
  <si>
    <t>₪</t>
  </si>
  <si>
    <t>כמה מזומן היה בקופה בתחילת השנה</t>
  </si>
  <si>
    <t>עונתיות — כמה כל חודש שונה מינואר</t>
  </si>
  <si>
    <t>חודש</t>
  </si>
  <si>
    <t>ינואר</t>
  </si>
  <si>
    <t>פברואר</t>
  </si>
  <si>
    <t>מרץ</t>
  </si>
  <si>
    <t>אפריל</t>
  </si>
  <si>
    <t>מאי</t>
  </si>
  <si>
    <t>יוני</t>
  </si>
  <si>
    <t>יולי</t>
  </si>
  <si>
    <t>אוגוסט</t>
  </si>
  <si>
    <t>ספטמבר</t>
  </si>
  <si>
    <t>אוקטובר</t>
  </si>
  <si>
    <t>נובמבר</t>
  </si>
  <si>
    <t>דצמבר</t>
  </si>
  <si>
    <t>מקדם</t>
  </si>
  <si>
    <t>1.00 = כמו ינואר. 1.40 = 40% יותר מינואר.</t>
  </si>
  <si>
    <t>מלאי לפי חנות</t>
  </si>
  <si>
    <t>כל שורה = פריט אחד בחנות אחת. עמודת הסטטוס אומרת מה לעשות.</t>
  </si>
  <si>
    <t>קטגוריה</t>
  </si>
  <si>
    <t>מחיר מכירה</t>
  </si>
  <si>
    <t>עלות ליחידה</t>
  </si>
  <si>
    <t>מפתח מיון</t>
  </si>
  <si>
    <t>מפתח חיפוש</t>
  </si>
  <si>
    <t>חולצת טי כותנה</t>
  </si>
  <si>
    <t>M</t>
  </si>
  <si>
    <t>חולצות</t>
  </si>
  <si>
    <t>L</t>
  </si>
  <si>
    <t>חולצה מכופתרת פשתן</t>
  </si>
  <si>
    <t>מכנסי ג׳ינס סלים</t>
  </si>
  <si>
    <t>32</t>
  </si>
  <si>
    <t>מכנסיים</t>
  </si>
  <si>
    <t>מכנסי ג׳ינס ישר</t>
  </si>
  <si>
    <t>34</t>
  </si>
  <si>
    <t>שמלת קיץ פרחונית</t>
  </si>
  <si>
    <t>S</t>
  </si>
  <si>
    <t>שמלות</t>
  </si>
  <si>
    <t>שמלת ערב</t>
  </si>
  <si>
    <t>מעיל חורף מרופד</t>
  </si>
  <si>
    <t>XL</t>
  </si>
  <si>
    <t>מעילים</t>
  </si>
  <si>
    <t>ג׳קט ג׳ינס</t>
  </si>
  <si>
    <t>חגורת עור</t>
  </si>
  <si>
    <t>יחיד</t>
  </si>
  <si>
    <t>אביזרים</t>
  </si>
  <si>
    <t>צעיף צמר</t>
  </si>
  <si>
    <t>חצאית מידי</t>
  </si>
  <si>
    <t>חצאיות</t>
  </si>
  <si>
    <t>סיכום חנויות</t>
  </si>
  <si>
    <t>השוואה בין הסניפים. ככל שהדירוג נמוך יותר, החנות מוכרת יותר.</t>
  </si>
  <si>
    <t>סבב מלאי חודשי</t>
  </si>
  <si>
    <t>דירוג מכירות</t>
  </si>
  <si>
    <t>סה״כ</t>
  </si>
  <si>
    <t>סבב מלאי = כמה פעמים המלאי מתחלף בחודש. גבוה יותר = הסחורה זזה מהר יותר.</t>
  </si>
  <si>
    <t>הכנסות לפי חנות — 2026</t>
  </si>
  <si>
    <t>ינואר מגיע מגיליון המלאי. שאר החודשים = ינואר × מקדם העונתיות.</t>
  </si>
  <si>
    <t>סה״כ שנתי</t>
  </si>
  <si>
    <t>סה״כ הכנסות</t>
  </si>
  <si>
    <t>הוצאות תפעוליות — 2026</t>
  </si>
  <si>
    <t>הוצאות קבועות. עולות בהדרגה לאורך השנה.</t>
  </si>
  <si>
    <t>סעיף הוצאה</t>
  </si>
  <si>
    <t>שכר ונלוות</t>
  </si>
  <si>
    <t>שכר דירה וארנונה</t>
  </si>
  <si>
    <t>שיווק ופרסום</t>
  </si>
  <si>
    <t>חשמל, מים ותקשורת</t>
  </si>
  <si>
    <t>הוצאות משרד</t>
  </si>
  <si>
    <t>עמלות סליקה</t>
  </si>
  <si>
    <t>הובלה ושילוח</t>
  </si>
  <si>
    <t>ביטוח</t>
  </si>
  <si>
    <t>פחת והפחתות</t>
  </si>
  <si>
    <t>סה״כ הוצאות</t>
  </si>
  <si>
    <t>רווח והפסד — 2026</t>
  </si>
  <si>
    <t>מלמעלה למטה: כמה נכנס, מה ירד ממנו, ומה נשאר בסוף.</t>
  </si>
  <si>
    <t>סעיף</t>
  </si>
  <si>
    <t>הכנסות ברוטו</t>
  </si>
  <si>
    <t>בניכוי מע״מ</t>
  </si>
  <si>
    <t>הכנסות נטו</t>
  </si>
  <si>
    <t>בניכוי עלות הסחורה</t>
  </si>
  <si>
    <t>רווח גולמי</t>
  </si>
  <si>
    <t>בניכוי הוצאות תפעול</t>
  </si>
  <si>
    <t>רווח תפעולי</t>
  </si>
  <si>
    <t>שיעורי רווחיות</t>
  </si>
  <si>
    <t>שיעור רווח תפעולי</t>
  </si>
  <si>
    <t>תזרים מזומנים — 2026</t>
  </si>
  <si>
    <t>כמה מזומן נכנס ויצא בפועל בכל חודש, ומה נשאר בקופה.</t>
  </si>
  <si>
    <t>תאריך סוף חודש</t>
  </si>
  <si>
    <t>תקבולים</t>
  </si>
  <si>
    <t>תשלומים</t>
  </si>
  <si>
    <t>תזרים נטו</t>
  </si>
  <si>
    <t>יתרה בקופה</t>
  </si>
  <si>
    <t>ניתוח Pivot — מי מוכר מה, ואיפה הכסף תקוע</t>
  </si>
  <si>
    <t>טבלאות מסתובבות אמיתיות. אפשר לגרור שדות ולפרוס אחרת — הנתונים מהמלאי.</t>
  </si>
  <si>
    <t>מכירות חודשיות (₪) — קטגוריה × חנות</t>
  </si>
  <si>
    <t>Row Labels</t>
  </si>
  <si>
    <t>Grand Total</t>
  </si>
  <si>
    <t>Column Labels</t>
  </si>
  <si>
    <t>סה״כ מכירות (₪)</t>
  </si>
  <si>
    <t>שווי מלאי (₪) לפי סטטוס — איפה הכסף תקוע</t>
  </si>
  <si>
    <t>אזל</t>
  </si>
  <si>
    <t>נמוך</t>
  </si>
  <si>
    <t>עודף</t>
  </si>
  <si>
    <t>קריטי</t>
  </si>
  <si>
    <t>תקין</t>
  </si>
  <si>
    <t>סה״כ שווי (₪)</t>
  </si>
  <si>
    <t>שורת 'עודף' למטה = כסף ששוכב על המדף. עמודה גבוהה בפיבוט העליון = החנות שמוכרת.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</si>
</sst>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#,##0\ [$₪-40D]"/>
    <numFmt numFmtId="166" formatCode="0.0"/>
    <numFmt numFmtId="167" formatCode="#,##0.00\ [$₪-40D]"/>
    <numFmt numFmtId="168" formatCode="0.000000"/>
    <numFmt numFmtId="169" formatCode="#,##0.00\ [$₪-40D];[Red]\(#,##0.00\ [$₪-40D]\)"/>
  </numFmts>
  <fonts count="16" x14ac:knownFonts="1">
    <font>
      <sz val="11"/>
      <color theme="1"/>
      <name val="Arial"/>
      <family val="2"/>
      <scheme val="minor"/>
    </font>
    <font>
      <b/>
      <sz val="18"/>
      <color rgb="FF1F3A5C"/>
      <name val="Arial"/>
    </font>
    <font>
      <sz val="10"/>
      <color rgb="FF6B7280"/>
      <name val="Arial"/>
    </font>
    <font>
      <b/>
      <sz val="11"/>
      <color rgb="FFFFFFFF"/>
      <name val="Arial"/>
    </font>
    <font>
      <sz val="11"/>
      <color rgb="FF1A1A1A"/>
      <name val="Arial"/>
    </font>
    <font>
      <b/>
      <sz val="12"/>
      <color rgb="FF1F3A5C"/>
      <name val="Arial"/>
    </font>
    <font>
      <i/>
      <sz val="9"/>
      <color rgb="FF6B7280"/>
      <name val="Arial"/>
    </font>
    <font>
      <b/>
      <sz val="11"/>
      <color rgb="FF1F3A5C"/>
      <name val="Arial"/>
    </font>
    <font>
      <b/>
      <sz val="12"/>
      <color rgb="FF2563EB"/>
      <name val="Arial"/>
    </font>
    <font>
      <b/>
      <sz val="10"/>
      <color rgb="FF6B7280"/>
      <name val="Arial"/>
    </font>
    <font>
      <b/>
      <sz val="16"/>
      <color rgb="FF1F3A5C"/>
      <name val="Arial"/>
    </font>
    <font>
      <sz val="9"/>
      <color rgb="FF6B7280"/>
      <name val="Arial"/>
    </font>
    <font>
      <b/>
      <sz val="18"/>
      <color rgb="FF1F3A5C"/>
      <name val="Arial"/>
      <family val="2"/>
      <scheme val="minor"/>
    </font>
    <font>
      <sz val="10"/>
      <color rgb="FF6B7280"/>
      <name val="Arial"/>
      <family val="2"/>
      <scheme val="minor"/>
    </font>
    <font>
      <b/>
      <sz val="12"/>
      <color rgb="FF1F3A5C"/>
      <name val="Arial"/>
      <family val="2"/>
      <scheme val="minor"/>
    </font>
    <font>
      <sz val="9"/>
      <color rgb="FF6B728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3A5C"/>
      </patternFill>
    </fill>
    <fill>
      <patternFill patternType="solid">
        <fgColor rgb="FFF7F9FC"/>
      </patternFill>
    </fill>
    <fill>
      <patternFill patternType="solid">
        <fgColor rgb="FFE8EDF4"/>
      </patternFill>
    </fill>
    <fill>
      <patternFill patternType="solid">
        <fgColor rgb="FFE8F0FE"/>
      </patternFill>
    </fill>
  </fills>
  <borders count="4">
    <border>
      <left/>
      <right/>
      <top/>
      <bottom/>
      <diagonal/>
    </border>
    <border>
      <left/>
      <right/>
      <top/>
      <bottom style="thin">
        <color rgb="FFD8DEE8"/>
      </bottom>
      <diagonal/>
    </border>
    <border>
      <left/>
      <right/>
      <top style="thin">
        <color rgb="FF1F3A5C"/>
      </top>
      <bottom/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 applyAlignment="1">
      <alignment horizontal="right" vertical="center" readingOrder="2"/>
    </xf>
    <xf numFmtId="0" fontId="2" fillId="0" borderId="0" xfId="0" applyFont="1" applyAlignment="1">
      <alignment horizontal="right" vertical="center" readingOrder="2"/>
    </xf>
    <xf numFmtId="0" fontId="5" fillId="4" borderId="0" xfId="0" applyFont="1" applyFill="1" applyAlignment="1">
      <alignment horizontal="right" vertical="center" readingOrder="2"/>
    </xf>
    <xf numFmtId="0" fontId="0" fillId="4" borderId="0" xfId="0" applyFill="1" applyAlignment="1">
      <alignment horizontal="right" vertical="center" readingOrder="2"/>
    </xf>
    <xf numFmtId="0" fontId="9" fillId="4" borderId="0" xfId="0" applyFont="1" applyFill="1" applyAlignment="1">
      <alignment horizontal="centerContinuous" vertical="center" readingOrder="2"/>
    </xf>
    <xf numFmtId="0" fontId="0" fillId="4" borderId="0" xfId="0" applyFill="1" applyAlignment="1">
      <alignment horizontal="centerContinuous" vertical="center" readingOrder="2"/>
    </xf>
    <xf numFmtId="165" fontId="10" fillId="4" borderId="0" xfId="0" applyNumberFormat="1" applyFont="1" applyFill="1" applyAlignment="1">
      <alignment horizontal="centerContinuous" vertical="center" readingOrder="2"/>
    </xf>
    <xf numFmtId="3" fontId="10" fillId="4" borderId="0" xfId="0" applyNumberFormat="1" applyFont="1" applyFill="1" applyAlignment="1">
      <alignment horizontal="centerContinuous" vertical="center" readingOrder="2"/>
    </xf>
    <xf numFmtId="0" fontId="11" fillId="4" borderId="0" xfId="0" applyFont="1" applyFill="1" applyAlignment="1">
      <alignment horizontal="centerContinuous" vertical="center" readingOrder="2"/>
    </xf>
    <xf numFmtId="164" fontId="10" fillId="4" borderId="0" xfId="0" applyNumberFormat="1" applyFont="1" applyFill="1" applyAlignment="1">
      <alignment horizontal="centerContinuous" vertical="center" readingOrder="2"/>
    </xf>
    <xf numFmtId="0" fontId="4" fillId="0" borderId="0" xfId="0" applyFont="1" applyAlignment="1">
      <alignment horizontal="right" vertical="center" readingOrder="2"/>
    </xf>
    <xf numFmtId="0" fontId="0" fillId="0" borderId="0" xfId="0" applyAlignment="1">
      <alignment horizontal="right" vertical="center" readingOrder="2"/>
    </xf>
    <xf numFmtId="0" fontId="3" fillId="2" borderId="0" xfId="0" applyFont="1" applyFill="1" applyAlignment="1">
      <alignment horizontal="center" vertical="center" wrapText="1" readingOrder="2"/>
    </xf>
    <xf numFmtId="0" fontId="4" fillId="0" borderId="1" xfId="0" applyFont="1" applyBorder="1" applyAlignment="1">
      <alignment horizontal="right" vertical="center" readingOrder="2"/>
    </xf>
    <xf numFmtId="0" fontId="4" fillId="0" borderId="1" xfId="0" applyFont="1" applyBorder="1" applyAlignment="1">
      <alignment horizontal="center" vertical="center" readingOrder="2"/>
    </xf>
    <xf numFmtId="3" fontId="4" fillId="0" borderId="1" xfId="0" applyNumberFormat="1" applyFont="1" applyBorder="1" applyAlignment="1">
      <alignment horizontal="center" vertical="center" readingOrder="2"/>
    </xf>
    <xf numFmtId="166" fontId="4" fillId="0" borderId="1" xfId="0" applyNumberFormat="1" applyFont="1" applyBorder="1" applyAlignment="1">
      <alignment horizontal="center" vertical="center" readingOrder="2"/>
    </xf>
    <xf numFmtId="0" fontId="4" fillId="3" borderId="1" xfId="0" applyFont="1" applyFill="1" applyBorder="1" applyAlignment="1">
      <alignment horizontal="right" vertical="center" readingOrder="2"/>
    </xf>
    <xf numFmtId="0" fontId="4" fillId="3" borderId="1" xfId="0" applyFont="1" applyFill="1" applyBorder="1" applyAlignment="1">
      <alignment horizontal="center" vertical="center" readingOrder="2"/>
    </xf>
    <xf numFmtId="3" fontId="4" fillId="3" borderId="1" xfId="0" applyNumberFormat="1" applyFont="1" applyFill="1" applyBorder="1" applyAlignment="1">
      <alignment horizontal="center" vertical="center" readingOrder="2"/>
    </xf>
    <xf numFmtId="166" fontId="4" fillId="3" borderId="1" xfId="0" applyNumberFormat="1" applyFont="1" applyFill="1" applyBorder="1" applyAlignment="1">
      <alignment horizontal="center" vertical="center" readingOrder="2"/>
    </xf>
    <xf numFmtId="0" fontId="8" fillId="5" borderId="3" xfId="0" applyFont="1" applyFill="1" applyBorder="1" applyAlignment="1">
      <alignment horizontal="center" vertical="center" readingOrder="2"/>
    </xf>
    <xf numFmtId="165" fontId="4" fillId="0" borderId="1" xfId="0" applyNumberFormat="1" applyFont="1" applyBorder="1" applyAlignment="1">
      <alignment horizontal="center" vertical="center" readingOrder="2"/>
    </xf>
    <xf numFmtId="165" fontId="4" fillId="3" borderId="1" xfId="0" applyNumberFormat="1" applyFont="1" applyFill="1" applyBorder="1" applyAlignment="1">
      <alignment horizontal="center" vertical="center" readingOrder="2"/>
    </xf>
    <xf numFmtId="0" fontId="4" fillId="0" borderId="1" xfId="0" applyFont="1" applyBorder="1" applyAlignment="1">
      <alignment vertical="center" readingOrder="2"/>
    </xf>
    <xf numFmtId="0" fontId="6" fillId="0" borderId="0" xfId="0" applyFont="1" applyAlignment="1">
      <alignment horizontal="right" vertical="center" readingOrder="2"/>
    </xf>
    <xf numFmtId="164" fontId="4" fillId="0" borderId="1" xfId="0" applyNumberFormat="1" applyFont="1" applyBorder="1" applyAlignment="1">
      <alignment horizontal="center" vertical="center" readingOrder="2"/>
    </xf>
    <xf numFmtId="164" fontId="4" fillId="3" borderId="1" xfId="0" applyNumberFormat="1" applyFont="1" applyFill="1" applyBorder="1" applyAlignment="1">
      <alignment horizontal="center" vertical="center" readingOrder="2"/>
    </xf>
    <xf numFmtId="2" fontId="4" fillId="0" borderId="1" xfId="0" applyNumberFormat="1" applyFont="1" applyBorder="1" applyAlignment="1">
      <alignment horizontal="right" vertical="center" readingOrder="2"/>
    </xf>
    <xf numFmtId="167" fontId="4" fillId="0" borderId="1" xfId="0" applyNumberFormat="1" applyFont="1" applyBorder="1" applyAlignment="1">
      <alignment horizontal="right" vertical="center" readingOrder="2"/>
    </xf>
    <xf numFmtId="165" fontId="4" fillId="0" borderId="1" xfId="0" applyNumberFormat="1" applyFont="1" applyBorder="1" applyAlignment="1">
      <alignment horizontal="right" vertical="center" readingOrder="2"/>
    </xf>
    <xf numFmtId="168" fontId="4" fillId="0" borderId="1" xfId="0" applyNumberFormat="1" applyFont="1" applyBorder="1" applyAlignment="1">
      <alignment horizontal="center" vertical="center" readingOrder="2"/>
    </xf>
    <xf numFmtId="167" fontId="4" fillId="3" borderId="1" xfId="0" applyNumberFormat="1" applyFont="1" applyFill="1" applyBorder="1" applyAlignment="1">
      <alignment horizontal="right" vertical="center" readingOrder="2"/>
    </xf>
    <xf numFmtId="165" fontId="4" fillId="3" borderId="1" xfId="0" applyNumberFormat="1" applyFont="1" applyFill="1" applyBorder="1" applyAlignment="1">
      <alignment horizontal="right" vertical="center" readingOrder="2"/>
    </xf>
    <xf numFmtId="2" fontId="4" fillId="0" borderId="1" xfId="0" applyNumberFormat="1" applyFont="1" applyBorder="1" applyAlignment="1">
      <alignment horizontal="center" vertical="center" readingOrder="2"/>
    </xf>
    <xf numFmtId="2" fontId="4" fillId="3" borderId="1" xfId="0" applyNumberFormat="1" applyFont="1" applyFill="1" applyBorder="1" applyAlignment="1">
      <alignment horizontal="center" vertical="center" readingOrder="2"/>
    </xf>
    <xf numFmtId="0" fontId="7" fillId="4" borderId="2" xfId="0" applyFont="1" applyFill="1" applyBorder="1" applyAlignment="1">
      <alignment horizontal="right" vertical="center" readingOrder="2"/>
    </xf>
    <xf numFmtId="165" fontId="7" fillId="4" borderId="2" xfId="0" applyNumberFormat="1" applyFont="1" applyFill="1" applyBorder="1" applyAlignment="1">
      <alignment horizontal="right" vertical="center" readingOrder="2"/>
    </xf>
    <xf numFmtId="3" fontId="7" fillId="4" borderId="2" xfId="0" applyNumberFormat="1" applyFont="1" applyFill="1" applyBorder="1" applyAlignment="1">
      <alignment horizontal="right" vertical="center" readingOrder="2"/>
    </xf>
    <xf numFmtId="169" fontId="4" fillId="0" borderId="1" xfId="0" applyNumberFormat="1" applyFont="1" applyBorder="1" applyAlignment="1">
      <alignment horizontal="right" vertical="center" readingOrder="2"/>
    </xf>
    <xf numFmtId="169" fontId="7" fillId="4" borderId="2" xfId="0" applyNumberFormat="1" applyFont="1" applyFill="1" applyBorder="1" applyAlignment="1">
      <alignment horizontal="right" vertical="center" readingOrder="2"/>
    </xf>
    <xf numFmtId="164" fontId="4" fillId="0" borderId="1" xfId="0" applyNumberFormat="1" applyFont="1" applyBorder="1" applyAlignment="1">
      <alignment horizontal="right" vertical="center" readingOrder="2"/>
    </xf>
    <xf numFmtId="14" fontId="4" fillId="0" borderId="1" xfId="0" applyNumberFormat="1" applyFont="1" applyBorder="1" applyAlignment="1">
      <alignment horizontal="center" vertical="center" readingOrder="2"/>
    </xf>
    <xf numFmtId="14" fontId="4" fillId="3" borderId="1" xfId="0" applyNumberFormat="1" applyFont="1" applyFill="1" applyBorder="1" applyAlignment="1">
      <alignment horizontal="center" vertical="center" readingOrder="2"/>
    </xf>
    <xf numFmtId="169" fontId="4" fillId="3" borderId="1" xfId="0" applyNumberFormat="1" applyFont="1" applyFill="1" applyBorder="1" applyAlignment="1">
      <alignment horizontal="right" vertical="center" readingOrder="2"/>
    </xf>
    <xf numFmtId="0" fontId="12" fillId="0" borderId="0" xfId="0" applyFont="1" applyAlignment="1">
      <alignment readingOrder="2"/>
    </xf>
    <xf numFmtId="0" fontId="0" fillId="0" borderId="0" xfId="0" applyAlignment="1">
      <alignment readingOrder="2"/>
    </xf>
    <xf numFmtId="0" fontId="13" fillId="0" borderId="0" xfId="0" applyFont="1" applyAlignment="1">
      <alignment readingOrder="2"/>
    </xf>
    <xf numFmtId="0" fontId="14" fillId="0" borderId="0" xfId="0" applyFont="1" applyAlignment="1">
      <alignment readingOrder="2"/>
    </xf>
    <xf numFmtId="0" fontId="0" fillId="0" borderId="0" xfId="0" pivotButton="1" applyAlignment="1">
      <alignment readingOrder="2"/>
    </xf>
    <xf numFmtId="0" fontId="0" fillId="0" borderId="0" xfId="0" applyAlignment="1">
      <alignment horizontal="right" readingOrder="2"/>
    </xf>
    <xf numFmtId="3" fontId="0" fillId="0" borderId="0" xfId="0" applyNumberFormat="1" applyAlignment="1">
      <alignment readingOrder="2"/>
    </xf>
    <xf numFmtId="0" fontId="15" fillId="0" borderId="0" xfId="0" applyFont="1" applyAlignment="1">
      <alignment readingOrder="2"/>
    </xf>
  </cellXfs>
  <cellStyles count="1">
    <cellStyle name="Normal" xfId="0" builtinId="0"/>
  </cellStyles>
  <dxfs count="37">
    <dxf>
      <alignment readingOrder="2"/>
    </dxf>
    <dxf>
      <alignment readingOrder="2"/>
    </dxf>
    <dxf>
      <alignment readingOrder="2"/>
    </dxf>
    <dxf>
      <alignment readingOrder="2"/>
    </dxf>
    <dxf>
      <alignment readingOrder="2"/>
    </dxf>
    <dxf>
      <alignment readingOrder="2"/>
    </dxf>
    <dxf>
      <alignment readingOrder="2"/>
    </dxf>
    <dxf>
      <alignment readingOrder="2"/>
    </dxf>
    <dxf>
      <alignment readingOrder="2"/>
    </dxf>
    <dxf>
      <alignment readingOrder="2"/>
    </dxf>
    <dxf>
      <alignment readingOrder="2"/>
    </dxf>
    <dxf>
      <alignment readingOrder="2"/>
    </dxf>
    <dxf>
      <alignment readingOrder="2"/>
    </dxf>
    <dxf>
      <alignment readingOrder="2"/>
    </dxf>
    <dxf>
      <alignment readingOrder="2"/>
    </dxf>
    <dxf>
      <alignment readingOrder="2"/>
    </dxf>
    <dxf>
      <alignment readingOrder="2"/>
    </dxf>
    <dxf>
      <alignment readingOrder="2"/>
    </dxf>
    <dxf>
      <alignment readingOrder="2"/>
    </dxf>
    <dxf>
      <alignment readingOrder="2"/>
    </dxf>
    <dxf>
      <font>
        <b/>
        <sz val="11"/>
        <color rgb="FFDC2626"/>
        <name val="Arial"/>
      </font>
    </dxf>
    <dxf>
      <font>
        <b/>
        <sz val="11"/>
        <color rgb="FFDC2626"/>
        <name val="Arial"/>
      </font>
    </dxf>
    <dxf>
      <font>
        <b/>
        <sz val="11"/>
        <color rgb="FF2563EB"/>
        <name val="Arial"/>
      </font>
      <fill>
        <patternFill patternType="solid">
          <fgColor rgb="FFE8F0FE"/>
        </patternFill>
      </fill>
    </dxf>
    <dxf>
      <font>
        <b/>
        <sz val="11"/>
        <color rgb="FF16A34A"/>
        <name val="Arial"/>
      </font>
      <fill>
        <patternFill patternType="solid">
          <fgColor rgb="FFE9F7EF"/>
        </patternFill>
      </fill>
    </dxf>
    <dxf>
      <font>
        <b/>
        <sz val="11"/>
        <color rgb="FFD97706"/>
        <name val="Arial"/>
      </font>
      <fill>
        <patternFill patternType="solid">
          <fgColor rgb="FFFEF3E2"/>
        </patternFill>
      </fill>
    </dxf>
    <dxf>
      <font>
        <b/>
        <sz val="11"/>
        <color rgb="FFDC2626"/>
        <name val="Arial"/>
      </font>
      <fill>
        <patternFill patternType="solid">
          <fgColor rgb="FFFDE8E8"/>
        </patternFill>
      </fill>
    </dxf>
    <dxf>
      <font>
        <b/>
        <sz val="11"/>
        <color rgb="FFDC2626"/>
        <name val="Arial"/>
      </font>
      <fill>
        <patternFill patternType="solid">
          <fgColor rgb="FFFDE8E8"/>
        </patternFill>
      </fill>
    </dxf>
    <dxf>
      <font>
        <b/>
        <sz val="11"/>
        <color rgb="FF2563EB"/>
        <name val="Arial"/>
      </font>
      <fill>
        <patternFill patternType="solid">
          <fgColor rgb="FFE8F0FE"/>
        </patternFill>
      </fill>
    </dxf>
    <dxf>
      <font>
        <b/>
        <sz val="11"/>
        <color rgb="FF16A34A"/>
        <name val="Arial"/>
      </font>
      <fill>
        <patternFill patternType="solid">
          <fgColor rgb="FFE9F7EF"/>
        </patternFill>
      </fill>
    </dxf>
    <dxf>
      <font>
        <b/>
        <sz val="11"/>
        <color rgb="FFD97706"/>
        <name val="Arial"/>
      </font>
      <fill>
        <patternFill patternType="solid">
          <fgColor rgb="FFFEF3E2"/>
        </patternFill>
      </fill>
    </dxf>
    <dxf>
      <font>
        <b/>
        <sz val="11"/>
        <color rgb="FFDC2626"/>
        <name val="Arial"/>
      </font>
      <fill>
        <patternFill patternType="solid">
          <fgColor rgb="FFFDE8E8"/>
        </patternFill>
      </fill>
    </dxf>
    <dxf>
      <font>
        <b/>
        <sz val="11"/>
        <color rgb="FFDC2626"/>
        <name val="Arial"/>
      </font>
      <fill>
        <patternFill patternType="solid">
          <fgColor rgb="FFFDE8E8"/>
        </patternFill>
      </fill>
    </dxf>
    <dxf>
      <font>
        <b/>
        <sz val="11"/>
        <color rgb="FF2563EB"/>
        <name val="Arial"/>
      </font>
      <fill>
        <patternFill patternType="solid">
          <fgColor rgb="FFE8F0FE"/>
        </patternFill>
      </fill>
    </dxf>
    <dxf>
      <font>
        <b/>
        <sz val="11"/>
        <color rgb="FF16A34A"/>
        <name val="Arial"/>
      </font>
      <fill>
        <patternFill patternType="solid">
          <fgColor rgb="FFE9F7EF"/>
        </patternFill>
      </fill>
    </dxf>
    <dxf>
      <font>
        <b/>
        <sz val="11"/>
        <color rgb="FFD97706"/>
        <name val="Arial"/>
      </font>
      <fill>
        <patternFill patternType="solid">
          <fgColor rgb="FFFEF3E2"/>
        </patternFill>
      </fill>
    </dxf>
    <dxf>
      <font>
        <b/>
        <sz val="11"/>
        <color rgb="FFDC2626"/>
        <name val="Arial"/>
      </font>
      <fill>
        <patternFill patternType="solid">
          <fgColor rgb="FFFDE8E8"/>
        </patternFill>
      </fill>
    </dxf>
    <dxf>
      <font>
        <b/>
        <sz val="11"/>
        <color rgb="FFDC2626"/>
        <name val="Arial"/>
      </font>
      <fill>
        <patternFill patternType="solid">
          <fgColor rgb="FFFDE8E8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he-IL"/>
              <a:t>מכירות חודשיות לפי חנות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'סיכום חנויות'!$B$4</c:f>
              <c:strCache>
                <c:ptCount val="1"/>
                <c:pt idx="0">
                  <c:v>מכירות בחודש (₪)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'סיכום חנויות'!$A$5:$A$10</c:f>
              <c:strCache>
                <c:ptCount val="6"/>
                <c:pt idx="0">
                  <c:v>גרנד קניון חיפה</c:v>
                </c:pt>
                <c:pt idx="1">
                  <c:v>קניון הקריון</c:v>
                </c:pt>
                <c:pt idx="2">
                  <c:v>חיפה — הדר</c:v>
                </c:pt>
                <c:pt idx="3">
                  <c:v>עזריאלי תל אביב</c:v>
                </c:pt>
                <c:pt idx="4">
                  <c:v>קניון מלחה ירושלים</c:v>
                </c:pt>
                <c:pt idx="5">
                  <c:v>מחסן אונליין</c:v>
                </c:pt>
              </c:strCache>
            </c:strRef>
          </c:cat>
          <c:val>
            <c:numRef>
              <c:f>'סיכום חנויות'!$B$5:$B$10</c:f>
              <c:numCache>
                <c:formatCode>#,##0\ [$₪-40D]</c:formatCode>
                <c:ptCount val="6"/>
                <c:pt idx="0">
                  <c:v>161310.39999999999</c:v>
                </c:pt>
                <c:pt idx="1">
                  <c:v>134320.29999999999</c:v>
                </c:pt>
                <c:pt idx="2">
                  <c:v>84459.199999999997</c:v>
                </c:pt>
                <c:pt idx="3">
                  <c:v>170720.9</c:v>
                </c:pt>
                <c:pt idx="4">
                  <c:v>125345.9</c:v>
                </c:pt>
                <c:pt idx="5">
                  <c:v>105428.2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1C-4661-8CD1-35D7C34F89FF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#,##0\ [$₪-40D]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he-IL"/>
              <a:t>רווח תפעולי לפי חודש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spPr>
            <a:ln>
              <a:prstDash val="solid"/>
            </a:ln>
          </c:spPr>
          <c:marker>
            <c:symbol val="none"/>
          </c:marker>
          <c:cat>
            <c:strRef>
              <c:f>'רווח והפסד'!$B$4:$M$4</c:f>
              <c:strCache>
                <c:ptCount val="12"/>
                <c:pt idx="0">
                  <c:v>ינואר</c:v>
                </c:pt>
                <c:pt idx="1">
                  <c:v>פברואר</c:v>
                </c:pt>
                <c:pt idx="2">
                  <c:v>מרץ</c:v>
                </c:pt>
                <c:pt idx="3">
                  <c:v>אפריל</c:v>
                </c:pt>
                <c:pt idx="4">
                  <c:v>מאי</c:v>
                </c:pt>
                <c:pt idx="5">
                  <c:v>יוני</c:v>
                </c:pt>
                <c:pt idx="6">
                  <c:v>יולי</c:v>
                </c:pt>
                <c:pt idx="7">
                  <c:v>אוגוסט</c:v>
                </c:pt>
                <c:pt idx="8">
                  <c:v>ספטמבר</c:v>
                </c:pt>
                <c:pt idx="9">
                  <c:v>אוקטובר</c:v>
                </c:pt>
                <c:pt idx="10">
                  <c:v>נובמבר</c:v>
                </c:pt>
                <c:pt idx="11">
                  <c:v>דצמבר</c:v>
                </c:pt>
              </c:strCache>
            </c:strRef>
          </c:cat>
          <c:val>
            <c:numRef>
              <c:f>'רווח והפסד'!$B$11:$M$11</c:f>
              <c:numCache>
                <c:formatCode>General</c:formatCode>
                <c:ptCount val="12"/>
                <c:pt idx="0">
                  <c:v>39368.84915254236</c:v>
                </c:pt>
                <c:pt idx="1">
                  <c:v>-3331.4127457627328</c:v>
                </c:pt>
                <c:pt idx="2">
                  <c:v>51777.291610169574</c:v>
                </c:pt>
                <c:pt idx="3">
                  <c:v>24443.783677966159</c:v>
                </c:pt>
                <c:pt idx="4">
                  <c:v>71569.111050847452</c:v>
                </c:pt>
                <c:pt idx="5">
                  <c:v>99344.307474576286</c:v>
                </c:pt>
                <c:pt idx="6">
                  <c:v>91219.241999999969</c:v>
                </c:pt>
                <c:pt idx="7">
                  <c:v>22952.226135593199</c:v>
                </c:pt>
                <c:pt idx="8">
                  <c:v>53244.045576271194</c:v>
                </c:pt>
                <c:pt idx="9">
                  <c:v>65552.488033898233</c:v>
                </c:pt>
                <c:pt idx="10">
                  <c:v>100911.06144067796</c:v>
                </c:pt>
                <c:pt idx="11">
                  <c:v>141436.3888135592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CE3-469A-98B1-8A77C2BC39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3</xdr:row>
      <xdr:rowOff>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0</xdr:colOff>
      <xdr:row>25</xdr:row>
      <xdr:rowOff>0</xdr:rowOff>
    </xdr:from>
    <xdr:ext cx="648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al" refreshedDate="46231.999509027781" createdVersion="8" refreshedVersion="8" minRefreshableVersion="3" recordCount="72" xr:uid="{7D0CE0F8-55B8-4A09-9419-40223CE23959}">
  <cacheSource type="worksheet">
    <worksheetSource name="טבלת_מלאי"/>
  </cacheSource>
  <cacheFields count="15">
    <cacheField name="מק״ט" numFmtId="0">
      <sharedItems/>
    </cacheField>
    <cacheField name="פריט" numFmtId="0">
      <sharedItems/>
    </cacheField>
    <cacheField name="מידה" numFmtId="0">
      <sharedItems/>
    </cacheField>
    <cacheField name="קטגוריה" numFmtId="0">
      <sharedItems count="6">
        <s v="חולצות"/>
        <s v="מכנסיים"/>
        <s v="שמלות"/>
        <s v="מעילים"/>
        <s v="אביזרים"/>
        <s v="חצאיות"/>
      </sharedItems>
    </cacheField>
    <cacheField name="חנות" numFmtId="0">
      <sharedItems count="6">
        <s v="גרנד קניון חיפה"/>
        <s v="קניון הקריון"/>
        <s v="חיפה — הדר"/>
        <s v="עזריאלי תל אביב"/>
        <s v="קניון מלחה ירושלים"/>
        <s v="מחסן אונליין"/>
      </sharedItems>
    </cacheField>
    <cacheField name="מלאי (יח׳)" numFmtId="3">
      <sharedItems containsSemiMixedTypes="0" containsString="0" containsNumber="1" containsInteger="1" minValue="6" maxValue="320"/>
    </cacheField>
    <cacheField name="מכירות בחודש (יח׳)" numFmtId="3">
      <sharedItems containsSemiMixedTypes="0" containsString="0" containsNumber="1" containsInteger="1" minValue="10" maxValue="240"/>
    </cacheField>
    <cacheField name="שבועות כיסוי" numFmtId="166">
      <sharedItems containsSemiMixedTypes="0" containsString="0" containsNumber="1" minValue="0.5" maxValue="25.8"/>
    </cacheField>
    <cacheField name="סטטוס" numFmtId="0">
      <sharedItems count="5">
        <s v="תקין"/>
        <s v="קריטי"/>
        <s v="עודף"/>
        <s v="אזל"/>
        <s v="נמוך"/>
      </sharedItems>
    </cacheField>
    <cacheField name="מחיר מכירה" numFmtId="167">
      <sharedItems containsSemiMixedTypes="0" containsString="0" containsNumber="1" minValue="79.900000000000006" maxValue="590"/>
    </cacheField>
    <cacheField name="עלות ליחידה" numFmtId="167">
      <sharedItems containsSemiMixedTypes="0" containsString="0" containsNumber="1" minValue="24.9" maxValue="245"/>
    </cacheField>
    <cacheField name="מכירות בחודש (₪)" numFmtId="165">
      <sharedItems containsSemiMixedTypes="0" containsString="0" containsNumber="1" minValue="1287" maxValue="28386"/>
    </cacheField>
    <cacheField name="שווי מלאי (₪)" numFmtId="165">
      <sharedItems containsSemiMixedTypes="0" containsString="0" containsNumber="1" minValue="448.2" maxValue="30590.5"/>
    </cacheField>
    <cacheField name="מפתח מיון" numFmtId="168">
      <sharedItems containsSemiMixedTypes="0" containsString="0" containsNumber="1" minValue="0.50002000000000002" maxValue="25.800015000000002"/>
    </cacheField>
    <cacheField name="מפתח חיפוש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2">
  <r>
    <s v="TS-1041"/>
    <s v="חולצת טי כותנה"/>
    <s v="M"/>
    <x v="0"/>
    <x v="0"/>
    <n v="113"/>
    <n v="116"/>
    <n v="4.2"/>
    <x v="0"/>
    <n v="79.900000000000006"/>
    <n v="24.9"/>
    <n v="9268.4000000000015"/>
    <n v="2813.7"/>
    <n v="4.200005"/>
    <s v="TS-1041|גרנד קניון חיפה"/>
  </r>
  <r>
    <s v="TS-1042"/>
    <s v="חולצת טי כותנה"/>
    <s v="L"/>
    <x v="0"/>
    <x v="0"/>
    <n v="80"/>
    <n v="240"/>
    <n v="1.4"/>
    <x v="1"/>
    <n v="79.900000000000006"/>
    <n v="24.9"/>
    <n v="19176"/>
    <n v="1992"/>
    <n v="1.4000059999999999"/>
    <s v="TS-1042|גרנד קניון חיפה"/>
  </r>
  <r>
    <s v="SH-2210"/>
    <s v="חולצה מכופתרת פשתן"/>
    <s v="L"/>
    <x v="0"/>
    <x v="0"/>
    <n v="176"/>
    <n v="62"/>
    <n v="12.3"/>
    <x v="2"/>
    <n v="189"/>
    <n v="68"/>
    <n v="11718"/>
    <n v="11968"/>
    <n v="12.300007000000001"/>
    <s v="SH-2210|גרנד קניון חיפה"/>
  </r>
  <r>
    <s v="JN-3305"/>
    <s v="מכנסי ג׳ינס סלים"/>
    <s v="32"/>
    <x v="1"/>
    <x v="0"/>
    <n v="15"/>
    <n v="114"/>
    <n v="0.6"/>
    <x v="3"/>
    <n v="249"/>
    <n v="96.5"/>
    <n v="28386"/>
    <n v="1447.5"/>
    <n v="0.60000799999999999"/>
    <s v="JN-3305|גרנד קניון חיפה"/>
  </r>
  <r>
    <s v="JN-3307"/>
    <s v="מכנסי ג׳ינס ישר"/>
    <s v="34"/>
    <x v="1"/>
    <x v="0"/>
    <n v="317"/>
    <n v="84"/>
    <n v="16.3"/>
    <x v="2"/>
    <n v="249"/>
    <n v="96.5"/>
    <n v="20916"/>
    <n v="30590.5"/>
    <n v="16.300008999999999"/>
    <s v="JN-3307|גרנד קניון חיפה"/>
  </r>
  <r>
    <s v="DR-4102"/>
    <s v="שמלת קיץ פרחונית"/>
    <s v="S"/>
    <x v="2"/>
    <x v="0"/>
    <n v="46"/>
    <n v="44"/>
    <n v="4.5"/>
    <x v="0"/>
    <n v="279"/>
    <n v="112"/>
    <n v="12276"/>
    <n v="5152"/>
    <n v="4.5000099999999996"/>
    <s v="DR-4102|גרנד קניון חיפה"/>
  </r>
  <r>
    <s v="DR-4108"/>
    <s v="שמלת ערב"/>
    <s v="M"/>
    <x v="2"/>
    <x v="0"/>
    <n v="104"/>
    <n v="29"/>
    <n v="15.5"/>
    <x v="2"/>
    <n v="590"/>
    <n v="245"/>
    <n v="17110"/>
    <n v="25480"/>
    <n v="15.500011000000001"/>
    <s v="DR-4108|גרנד קניון חיפה"/>
  </r>
  <r>
    <s v="JK-5501"/>
    <s v="מעיל חורף מרופד"/>
    <s v="XL"/>
    <x v="3"/>
    <x v="0"/>
    <n v="48"/>
    <n v="32"/>
    <n v="6.5"/>
    <x v="0"/>
    <n v="449"/>
    <n v="189"/>
    <n v="14368"/>
    <n v="9072"/>
    <n v="6.5000119999999999"/>
    <s v="JK-5501|גרנד קניון חיפה"/>
  </r>
  <r>
    <s v="JK-5504"/>
    <s v="ג׳קט ג׳ינס"/>
    <s v="M"/>
    <x v="3"/>
    <x v="0"/>
    <n v="15"/>
    <n v="34"/>
    <n v="1.9"/>
    <x v="1"/>
    <n v="379"/>
    <n v="154"/>
    <n v="12886"/>
    <n v="2310"/>
    <n v="1.900013"/>
    <s v="JK-5504|גרנד קניון חיפה"/>
  </r>
  <r>
    <s v="AC-6001"/>
    <s v="חגורת עור"/>
    <s v="יחיד"/>
    <x v="4"/>
    <x v="0"/>
    <n v="134"/>
    <n v="66"/>
    <n v="8.8000000000000007"/>
    <x v="0"/>
    <n v="119"/>
    <n v="42"/>
    <n v="7854"/>
    <n v="5628"/>
    <n v="8.8000140000000009"/>
    <s v="AC-6001|גרנד קניון חיפה"/>
  </r>
  <r>
    <s v="AC-6014"/>
    <s v="צעיף צמר"/>
    <s v="יחיד"/>
    <x v="4"/>
    <x v="0"/>
    <n v="131"/>
    <n v="22"/>
    <n v="25.8"/>
    <x v="2"/>
    <n v="99"/>
    <n v="38.5"/>
    <n v="2178"/>
    <n v="5043.5"/>
    <n v="25.800015000000002"/>
    <s v="AC-6014|גרנד קניון חיפה"/>
  </r>
  <r>
    <s v="SK-7203"/>
    <s v="חצאית מידי"/>
    <s v="S"/>
    <x v="5"/>
    <x v="0"/>
    <n v="10"/>
    <n v="26"/>
    <n v="1.7"/>
    <x v="1"/>
    <n v="199"/>
    <n v="78"/>
    <n v="5174"/>
    <n v="780"/>
    <n v="1.700016"/>
    <s v="SK-7203|גרנד קניון חיפה"/>
  </r>
  <r>
    <s v="TS-1041"/>
    <s v="חולצת טי כותנה"/>
    <s v="M"/>
    <x v="0"/>
    <x v="1"/>
    <n v="234"/>
    <n v="118"/>
    <n v="8.6"/>
    <x v="0"/>
    <n v="79.900000000000006"/>
    <n v="24.9"/>
    <n v="9428.2000000000007"/>
    <n v="5826.5999999999995"/>
    <n v="8.6000169999999994"/>
    <s v="TS-1041|קניון הקריון"/>
  </r>
  <r>
    <s v="TS-1042"/>
    <s v="חולצת טי כותנה"/>
    <s v="L"/>
    <x v="0"/>
    <x v="1"/>
    <n v="67"/>
    <n v="229"/>
    <n v="1.3"/>
    <x v="1"/>
    <n v="79.900000000000006"/>
    <n v="24.9"/>
    <n v="18297.100000000002"/>
    <n v="1668.3"/>
    <n v="1.3000180000000001"/>
    <s v="TS-1042|קניון הקריון"/>
  </r>
  <r>
    <s v="SH-2210"/>
    <s v="חולצה מכופתרת פשתן"/>
    <s v="L"/>
    <x v="0"/>
    <x v="1"/>
    <n v="156"/>
    <n v="61"/>
    <n v="11.1"/>
    <x v="0"/>
    <n v="189"/>
    <n v="68"/>
    <n v="11529"/>
    <n v="10608"/>
    <n v="11.100019"/>
    <s v="SH-2210|קניון הקריון"/>
  </r>
  <r>
    <s v="JN-3305"/>
    <s v="מכנסי ג׳ינס סלים"/>
    <s v="32"/>
    <x v="1"/>
    <x v="1"/>
    <n v="6"/>
    <n v="54"/>
    <n v="0.5"/>
    <x v="3"/>
    <n v="249"/>
    <n v="96.5"/>
    <n v="13446"/>
    <n v="579"/>
    <n v="0.50002000000000002"/>
    <s v="JN-3305|קניון הקריון"/>
  </r>
  <r>
    <s v="JN-3307"/>
    <s v="מכנסי ג׳ינס ישר"/>
    <s v="34"/>
    <x v="1"/>
    <x v="1"/>
    <n v="267"/>
    <n v="80"/>
    <n v="14.5"/>
    <x v="2"/>
    <n v="249"/>
    <n v="96.5"/>
    <n v="19920"/>
    <n v="25765.5"/>
    <n v="14.500021"/>
    <s v="JN-3307|קניון הקריון"/>
  </r>
  <r>
    <s v="DR-4102"/>
    <s v="שמלת קיץ פרחונית"/>
    <s v="S"/>
    <x v="2"/>
    <x v="1"/>
    <n v="42"/>
    <n v="44"/>
    <n v="4.0999999999999996"/>
    <x v="0"/>
    <n v="279"/>
    <n v="112"/>
    <n v="12276"/>
    <n v="4704"/>
    <n v="4.1000220000000001"/>
    <s v="DR-4102|קניון הקריון"/>
  </r>
  <r>
    <s v="DR-4108"/>
    <s v="שמלת ערב"/>
    <s v="M"/>
    <x v="2"/>
    <x v="1"/>
    <n v="40"/>
    <n v="13"/>
    <n v="13.3"/>
    <x v="2"/>
    <n v="590"/>
    <n v="245"/>
    <n v="7670"/>
    <n v="9800"/>
    <n v="13.300023000000001"/>
    <s v="DR-4108|קניון הקריון"/>
  </r>
  <r>
    <s v="JK-5501"/>
    <s v="מעיל חורף מרופד"/>
    <s v="XL"/>
    <x v="3"/>
    <x v="1"/>
    <n v="42"/>
    <n v="31"/>
    <n v="5.9"/>
    <x v="0"/>
    <n v="449"/>
    <n v="189"/>
    <n v="13919"/>
    <n v="7938"/>
    <n v="5.9000240000000002"/>
    <s v="JK-5501|קניון הקריון"/>
  </r>
  <r>
    <s v="JK-5504"/>
    <s v="ג׳קט ג׳ינס"/>
    <s v="M"/>
    <x v="3"/>
    <x v="1"/>
    <n v="29"/>
    <n v="34"/>
    <n v="3.7"/>
    <x v="4"/>
    <n v="379"/>
    <n v="154"/>
    <n v="12886"/>
    <n v="4466"/>
    <n v="3.7000250000000001"/>
    <s v="JK-5504|קניון הקריון"/>
  </r>
  <r>
    <s v="AC-6001"/>
    <s v="חגורת עור"/>
    <s v="יחיד"/>
    <x v="4"/>
    <x v="1"/>
    <n v="113"/>
    <n v="63"/>
    <n v="7.8"/>
    <x v="0"/>
    <n v="119"/>
    <n v="42"/>
    <n v="7497"/>
    <n v="4746"/>
    <n v="7.8000259999999999"/>
    <s v="AC-6001|קניון הקריון"/>
  </r>
  <r>
    <s v="AC-6014"/>
    <s v="צעיף צמר"/>
    <s v="יחיד"/>
    <x v="4"/>
    <x v="1"/>
    <n v="113"/>
    <n v="21"/>
    <n v="23.3"/>
    <x v="2"/>
    <n v="99"/>
    <n v="38.5"/>
    <n v="2079"/>
    <n v="4350.5"/>
    <n v="23.300027"/>
    <s v="AC-6014|קניון הקריון"/>
  </r>
  <r>
    <s v="SK-7203"/>
    <s v="חצאית מידי"/>
    <s v="S"/>
    <x v="5"/>
    <x v="1"/>
    <n v="9"/>
    <n v="27"/>
    <n v="1.4"/>
    <x v="1"/>
    <n v="199"/>
    <n v="78"/>
    <n v="5373"/>
    <n v="702"/>
    <n v="1.4000279999999998"/>
    <s v="SK-7203|קניון הקריון"/>
  </r>
  <r>
    <s v="TS-1041"/>
    <s v="חולצת טי כותנה"/>
    <s v="M"/>
    <x v="0"/>
    <x v="2"/>
    <n v="151"/>
    <n v="84"/>
    <n v="7.8"/>
    <x v="0"/>
    <n v="79.900000000000006"/>
    <n v="24.9"/>
    <n v="6711.6"/>
    <n v="3759.8999999999996"/>
    <n v="7.8000289999999994"/>
    <s v="TS-1041|חיפה — הדר"/>
  </r>
  <r>
    <s v="TS-1042"/>
    <s v="חולצת טי כותנה"/>
    <s v="L"/>
    <x v="0"/>
    <x v="2"/>
    <n v="18"/>
    <n v="74"/>
    <n v="1.1000000000000001"/>
    <x v="1"/>
    <n v="79.900000000000006"/>
    <n v="24.9"/>
    <n v="5912.6"/>
    <n v="448.2"/>
    <n v="1.1000300000000001"/>
    <s v="TS-1042|חיפה — הדר"/>
  </r>
  <r>
    <s v="SH-2210"/>
    <s v="חולצה מכופתרת פשתן"/>
    <s v="L"/>
    <x v="0"/>
    <x v="2"/>
    <n v="96"/>
    <n v="42"/>
    <n v="9.9"/>
    <x v="0"/>
    <n v="189"/>
    <n v="68"/>
    <n v="7938"/>
    <n v="6528"/>
    <n v="9.9000310000000002"/>
    <s v="SH-2210|חיפה — הדר"/>
  </r>
  <r>
    <s v="JN-3305"/>
    <s v="מכנסי ג׳ינס סלים"/>
    <s v="32"/>
    <x v="1"/>
    <x v="2"/>
    <n v="9"/>
    <n v="39"/>
    <n v="1"/>
    <x v="1"/>
    <n v="249"/>
    <n v="96.5"/>
    <n v="9711"/>
    <n v="868.5"/>
    <n v="1.000032"/>
    <s v="JN-3305|חיפה — הדר"/>
  </r>
  <r>
    <s v="JN-3307"/>
    <s v="מכנסי ג׳ינס ישר"/>
    <s v="34"/>
    <x v="1"/>
    <x v="2"/>
    <n v="157"/>
    <n v="54"/>
    <n v="12.6"/>
    <x v="2"/>
    <n v="249"/>
    <n v="96.5"/>
    <n v="13446"/>
    <n v="15150.5"/>
    <n v="12.600033"/>
    <s v="JN-3307|חיפה — הדר"/>
  </r>
  <r>
    <s v="DR-4102"/>
    <s v="שמלת קיץ פרחונית"/>
    <s v="S"/>
    <x v="2"/>
    <x v="2"/>
    <n v="26"/>
    <n v="31"/>
    <n v="3.6"/>
    <x v="4"/>
    <n v="279"/>
    <n v="112"/>
    <n v="8649"/>
    <n v="2912"/>
    <n v="3.600034"/>
    <s v="DR-4102|חיפה — הדר"/>
  </r>
  <r>
    <s v="DR-4108"/>
    <s v="שמלת ערב"/>
    <s v="M"/>
    <x v="2"/>
    <x v="2"/>
    <n v="26"/>
    <n v="10"/>
    <n v="11.3"/>
    <x v="0"/>
    <n v="590"/>
    <n v="245"/>
    <n v="5900"/>
    <n v="6370"/>
    <n v="11.300035000000001"/>
    <s v="DR-4108|חיפה — הדר"/>
  </r>
  <r>
    <s v="JK-5501"/>
    <s v="מעיל חורף מרופד"/>
    <s v="XL"/>
    <x v="3"/>
    <x v="2"/>
    <n v="25"/>
    <n v="21"/>
    <n v="5.2"/>
    <x v="0"/>
    <n v="449"/>
    <n v="189"/>
    <n v="9429"/>
    <n v="4725"/>
    <n v="5.2000359999999999"/>
    <s v="JK-5501|חיפה — הדר"/>
  </r>
  <r>
    <s v="JK-5504"/>
    <s v="ג׳קט ג׳ינס"/>
    <s v="M"/>
    <x v="3"/>
    <x v="2"/>
    <n v="19"/>
    <n v="24"/>
    <n v="3.4"/>
    <x v="4"/>
    <n v="379"/>
    <n v="154"/>
    <n v="9096"/>
    <n v="2926"/>
    <n v="3.4000369999999998"/>
    <s v="JK-5504|חיפה — הדר"/>
  </r>
  <r>
    <s v="AC-6001"/>
    <s v="חגורת עור"/>
    <s v="יחיד"/>
    <x v="4"/>
    <x v="2"/>
    <n v="32"/>
    <n v="21"/>
    <n v="6.6"/>
    <x v="0"/>
    <n v="119"/>
    <n v="42"/>
    <n v="2499"/>
    <n v="1344"/>
    <n v="6.6000379999999996"/>
    <s v="AC-6001|חיפה — הדר"/>
  </r>
  <r>
    <s v="AC-6014"/>
    <s v="צעיף צמר"/>
    <s v="יחיד"/>
    <x v="4"/>
    <x v="2"/>
    <n v="68"/>
    <n v="14"/>
    <n v="21"/>
    <x v="2"/>
    <n v="99"/>
    <n v="38.5"/>
    <n v="1386"/>
    <n v="2618"/>
    <n v="21.000039000000001"/>
    <s v="AC-6014|חיפה — הדר"/>
  </r>
  <r>
    <s v="SK-7203"/>
    <s v="חצאית מידי"/>
    <s v="S"/>
    <x v="5"/>
    <x v="2"/>
    <n v="12"/>
    <n v="19"/>
    <n v="2.7"/>
    <x v="4"/>
    <n v="199"/>
    <n v="78"/>
    <n v="3781"/>
    <n v="936"/>
    <n v="2.70004"/>
    <s v="SK-7203|חיפה — הדר"/>
  </r>
  <r>
    <s v="TS-1041"/>
    <s v="חולצת טי כותנה"/>
    <s v="M"/>
    <x v="0"/>
    <x v="3"/>
    <n v="320"/>
    <n v="198"/>
    <n v="7"/>
    <x v="0"/>
    <n v="79.900000000000006"/>
    <n v="24.9"/>
    <n v="15820.2"/>
    <n v="7968"/>
    <n v="7.0000410000000004"/>
    <s v="TS-1041|עזריאלי תל אביב"/>
  </r>
  <r>
    <s v="TS-1042"/>
    <s v="חולצת טי כותנה"/>
    <s v="L"/>
    <x v="0"/>
    <x v="3"/>
    <n v="89"/>
    <n v="183"/>
    <n v="2.1"/>
    <x v="4"/>
    <n v="79.900000000000006"/>
    <n v="24.9"/>
    <n v="14621.7"/>
    <n v="2216.1"/>
    <n v="2.1000420000000002"/>
    <s v="TS-1042|עזריאלי תל אביב"/>
  </r>
  <r>
    <s v="SH-2210"/>
    <s v="חולצה מכופתרת פשתן"/>
    <s v="L"/>
    <x v="0"/>
    <x v="3"/>
    <n v="195"/>
    <n v="97"/>
    <n v="8.6999999999999993"/>
    <x v="0"/>
    <n v="189"/>
    <n v="68"/>
    <n v="18333"/>
    <n v="13260"/>
    <n v="8.7000429999999991"/>
    <s v="SH-2210|עזריאלי תל אביב"/>
  </r>
  <r>
    <s v="JN-3305"/>
    <s v="מכנסי ג׳ינס סלים"/>
    <s v="32"/>
    <x v="1"/>
    <x v="3"/>
    <n v="19"/>
    <n v="92"/>
    <n v="0.9"/>
    <x v="3"/>
    <n v="249"/>
    <n v="96.5"/>
    <n v="22908"/>
    <n v="1833.5"/>
    <n v="0.90004400000000007"/>
    <s v="JN-3305|עזריאלי תל אביב"/>
  </r>
  <r>
    <s v="JN-3307"/>
    <s v="מכנסי ג׳ינס ישר"/>
    <s v="34"/>
    <x v="1"/>
    <x v="3"/>
    <n v="154"/>
    <n v="62"/>
    <n v="10.8"/>
    <x v="0"/>
    <n v="249"/>
    <n v="96.5"/>
    <n v="15438"/>
    <n v="14861"/>
    <n v="10.800045000000001"/>
    <s v="JN-3307|עזריאלי תל אביב"/>
  </r>
  <r>
    <s v="DR-4102"/>
    <s v="שמלת קיץ פרחונית"/>
    <s v="S"/>
    <x v="2"/>
    <x v="3"/>
    <n v="54"/>
    <n v="71"/>
    <n v="3.3"/>
    <x v="4"/>
    <n v="279"/>
    <n v="112"/>
    <n v="19809"/>
    <n v="6048"/>
    <n v="3.300046"/>
    <s v="DR-4102|עזריאלי תל אביב"/>
  </r>
  <r>
    <s v="DR-4108"/>
    <s v="שמלת ערב"/>
    <s v="M"/>
    <x v="2"/>
    <x v="3"/>
    <n v="122"/>
    <n v="23"/>
    <n v="23"/>
    <x v="2"/>
    <n v="590"/>
    <n v="245"/>
    <n v="13570"/>
    <n v="29890"/>
    <n v="23.000046999999999"/>
    <s v="DR-4108|עזריאלי תל אביב"/>
  </r>
  <r>
    <s v="JK-5501"/>
    <s v="מעיל חורף מרופד"/>
    <s v="XL"/>
    <x v="3"/>
    <x v="3"/>
    <n v="24"/>
    <n v="23"/>
    <n v="4.5"/>
    <x v="0"/>
    <n v="449"/>
    <n v="189"/>
    <n v="10327"/>
    <n v="4536"/>
    <n v="4.5000479999999996"/>
    <s v="JK-5501|עזריאלי תל אביב"/>
  </r>
  <r>
    <s v="JK-5504"/>
    <s v="ג׳קט ג׳ינס"/>
    <s v="M"/>
    <x v="3"/>
    <x v="3"/>
    <n v="41"/>
    <n v="57"/>
    <n v="3.1"/>
    <x v="4"/>
    <n v="379"/>
    <n v="154"/>
    <n v="21603"/>
    <n v="6314"/>
    <n v="3.1000490000000003"/>
    <s v="JK-5504|עזריאלי תל אביב"/>
  </r>
  <r>
    <s v="AC-6001"/>
    <s v="חגורת עור"/>
    <s v="יחיד"/>
    <x v="4"/>
    <x v="3"/>
    <n v="66"/>
    <n v="51"/>
    <n v="5.6"/>
    <x v="0"/>
    <n v="119"/>
    <n v="42"/>
    <n v="6069"/>
    <n v="2772"/>
    <n v="5.6000499999999995"/>
    <s v="AC-6001|עזריאלי תל אביב"/>
  </r>
  <r>
    <s v="AC-6014"/>
    <s v="צעיף צמר"/>
    <s v="יחיד"/>
    <x v="4"/>
    <x v="3"/>
    <n v="142"/>
    <n v="33"/>
    <n v="18.600000000000001"/>
    <x v="2"/>
    <n v="99"/>
    <n v="38.5"/>
    <n v="3267"/>
    <n v="5467"/>
    <n v="18.600051000000001"/>
    <s v="AC-6014|עזריאלי תל אביב"/>
  </r>
  <r>
    <s v="SK-7203"/>
    <s v="חצאית מידי"/>
    <s v="S"/>
    <x v="5"/>
    <x v="3"/>
    <n v="26"/>
    <n v="45"/>
    <n v="2.5"/>
    <x v="4"/>
    <n v="199"/>
    <n v="78"/>
    <n v="8955"/>
    <n v="2028"/>
    <n v="2.5000520000000002"/>
    <s v="SK-7203|עזריאלי תל אביב"/>
  </r>
  <r>
    <s v="TS-1041"/>
    <s v="חולצת טי כותנה"/>
    <s v="M"/>
    <x v="0"/>
    <x v="4"/>
    <n v="221"/>
    <n v="154"/>
    <n v="6.2"/>
    <x v="0"/>
    <n v="79.900000000000006"/>
    <n v="24.9"/>
    <n v="12304.6"/>
    <n v="5502.9"/>
    <n v="6.2000530000000005"/>
    <s v="TS-1041|קניון מלחה ירושלים"/>
  </r>
  <r>
    <s v="TS-1042"/>
    <s v="חולצת טי כותנה"/>
    <s v="L"/>
    <x v="0"/>
    <x v="4"/>
    <n v="65"/>
    <n v="147"/>
    <n v="1.9"/>
    <x v="1"/>
    <n v="79.900000000000006"/>
    <n v="24.9"/>
    <n v="11745.300000000001"/>
    <n v="1618.5"/>
    <n v="1.9000539999999999"/>
    <s v="TS-1042|קניון מלחה ירושלים"/>
  </r>
  <r>
    <s v="SH-2210"/>
    <s v="חולצה מכופתרת פשתן"/>
    <s v="L"/>
    <x v="0"/>
    <x v="4"/>
    <n v="61"/>
    <n v="35"/>
    <n v="7.5"/>
    <x v="0"/>
    <n v="189"/>
    <n v="68"/>
    <n v="6615"/>
    <n v="4148"/>
    <n v="7.5000549999999997"/>
    <s v="SH-2210|קניון מלחה ירושלים"/>
  </r>
  <r>
    <s v="JN-3305"/>
    <s v="מכנסי ג׳ינס סלים"/>
    <s v="32"/>
    <x v="1"/>
    <x v="4"/>
    <n v="14"/>
    <n v="72"/>
    <n v="0.8"/>
    <x v="3"/>
    <n v="249"/>
    <n v="96.5"/>
    <n v="17928"/>
    <n v="1351"/>
    <n v="0.80005599999999999"/>
    <s v="JN-3305|קניון מלחה ירושלים"/>
  </r>
  <r>
    <s v="JN-3307"/>
    <s v="מכנסי ג׳ינס ישר"/>
    <s v="34"/>
    <x v="1"/>
    <x v="4"/>
    <n v="242"/>
    <n v="50"/>
    <n v="21"/>
    <x v="2"/>
    <n v="249"/>
    <n v="96.5"/>
    <n v="12450"/>
    <n v="23353"/>
    <n v="21.000057000000002"/>
    <s v="JN-3307|קניון מלחה ירושלים"/>
  </r>
  <r>
    <s v="DR-4102"/>
    <s v="שמלת קיץ פרחונית"/>
    <s v="S"/>
    <x v="2"/>
    <x v="4"/>
    <n v="37"/>
    <n v="55"/>
    <n v="2.9"/>
    <x v="4"/>
    <n v="279"/>
    <n v="112"/>
    <n v="15345"/>
    <n v="4144"/>
    <n v="2.900058"/>
    <s v="DR-4102|קניון מלחה ירושלים"/>
  </r>
  <r>
    <s v="DR-4108"/>
    <s v="שמלת ערב"/>
    <s v="M"/>
    <x v="2"/>
    <x v="4"/>
    <n v="86"/>
    <n v="18"/>
    <n v="20.7"/>
    <x v="2"/>
    <n v="590"/>
    <n v="245"/>
    <n v="10620"/>
    <n v="21070"/>
    <n v="20.700059"/>
    <s v="DR-4108|קניון מלחה ירושלים"/>
  </r>
  <r>
    <s v="JK-5501"/>
    <s v="מעיל חורף מרופד"/>
    <s v="XL"/>
    <x v="3"/>
    <x v="4"/>
    <n v="17"/>
    <n v="19"/>
    <n v="3.9"/>
    <x v="4"/>
    <n v="449"/>
    <n v="189"/>
    <n v="8531"/>
    <n v="3213"/>
    <n v="3.9000599999999999"/>
    <s v="JK-5501|קניון מלחה ירושלים"/>
  </r>
  <r>
    <s v="JK-5504"/>
    <s v="ג׳קט ג׳ינס"/>
    <s v="M"/>
    <x v="3"/>
    <x v="4"/>
    <n v="28"/>
    <n v="44"/>
    <n v="2.8"/>
    <x v="4"/>
    <n v="379"/>
    <n v="154"/>
    <n v="16676"/>
    <n v="4312"/>
    <n v="2.8000609999999999"/>
    <s v="JK-5504|קניון מלחה ירושלים"/>
  </r>
  <r>
    <s v="AC-6001"/>
    <s v="חגורת עור"/>
    <s v="יחיד"/>
    <x v="4"/>
    <x v="4"/>
    <n v="109"/>
    <n v="41"/>
    <n v="11.5"/>
    <x v="0"/>
    <n v="119"/>
    <n v="42"/>
    <n v="4879"/>
    <n v="4578"/>
    <n v="11.500062"/>
    <s v="AC-6001|קניון מלחה ירושלים"/>
  </r>
  <r>
    <s v="AC-6014"/>
    <s v="צעיף צמר"/>
    <s v="יחיד"/>
    <x v="4"/>
    <x v="4"/>
    <n v="49"/>
    <n v="13"/>
    <n v="16.3"/>
    <x v="2"/>
    <n v="99"/>
    <n v="38.5"/>
    <n v="1287"/>
    <n v="1886.5"/>
    <n v="16.300063000000002"/>
    <s v="AC-6014|קניון מלחה ירושלים"/>
  </r>
  <r>
    <s v="SK-7203"/>
    <s v="חצאית מידי"/>
    <s v="S"/>
    <x v="5"/>
    <x v="4"/>
    <n v="18"/>
    <n v="35"/>
    <n v="2.2000000000000002"/>
    <x v="4"/>
    <n v="199"/>
    <n v="78"/>
    <n v="6965"/>
    <n v="1404"/>
    <n v="2.2000640000000002"/>
    <s v="SK-7203|קניון מלחה ירושלים"/>
  </r>
  <r>
    <s v="TS-1041"/>
    <s v="חולצת טי כותנה"/>
    <s v="M"/>
    <x v="0"/>
    <x v="5"/>
    <n v="181"/>
    <n v="145"/>
    <n v="5.4"/>
    <x v="0"/>
    <n v="79.900000000000006"/>
    <n v="24.9"/>
    <n v="11585.5"/>
    <n v="4506.8999999999996"/>
    <n v="5.4000650000000006"/>
    <s v="TS-1041|מחסן אונליין"/>
  </r>
  <r>
    <s v="TS-1042"/>
    <s v="חולצת טי כותנה"/>
    <s v="L"/>
    <x v="0"/>
    <x v="5"/>
    <n v="57"/>
    <n v="143"/>
    <n v="1.7"/>
    <x v="1"/>
    <n v="79.900000000000006"/>
    <n v="24.9"/>
    <n v="11425.7"/>
    <n v="1419.3"/>
    <n v="1.7000659999999999"/>
    <s v="TS-1042|מחסן אונליין"/>
  </r>
  <r>
    <s v="SH-2210"/>
    <s v="חולצה מכופתרת פשתן"/>
    <s v="L"/>
    <x v="0"/>
    <x v="5"/>
    <n v="52"/>
    <n v="36"/>
    <n v="6.3"/>
    <x v="0"/>
    <n v="189"/>
    <n v="68"/>
    <n v="6804"/>
    <n v="3536"/>
    <n v="6.3000669999999994"/>
    <s v="SH-2210|מחסן אונליין"/>
  </r>
  <r>
    <s v="JN-3305"/>
    <s v="מכנסי ג׳ינס סלים"/>
    <s v="32"/>
    <x v="1"/>
    <x v="5"/>
    <n v="11"/>
    <n v="68"/>
    <n v="0.7"/>
    <x v="3"/>
    <n v="249"/>
    <n v="96.5"/>
    <n v="16932"/>
    <n v="1061.5"/>
    <n v="0.70006799999999991"/>
    <s v="JN-3305|מחסן אונליין"/>
  </r>
  <r>
    <s v="JN-3307"/>
    <s v="מכנסי ג׳ינס ישר"/>
    <s v="34"/>
    <x v="1"/>
    <x v="5"/>
    <n v="217"/>
    <n v="49"/>
    <n v="19.2"/>
    <x v="2"/>
    <n v="249"/>
    <n v="96.5"/>
    <n v="12201"/>
    <n v="20940.5"/>
    <n v="19.200068999999999"/>
    <s v="JN-3307|מחסן אונליין"/>
  </r>
  <r>
    <s v="DR-4102"/>
    <s v="שמלת קיץ פרחונית"/>
    <s v="S"/>
    <x v="2"/>
    <x v="5"/>
    <n v="15"/>
    <n v="26"/>
    <n v="2.5"/>
    <x v="4"/>
    <n v="279"/>
    <n v="112"/>
    <n v="7254"/>
    <n v="1680"/>
    <n v="2.50007"/>
    <s v="DR-4102|מחסן אונליין"/>
  </r>
  <r>
    <s v="DR-4108"/>
    <s v="שמלת ערב"/>
    <s v="M"/>
    <x v="2"/>
    <x v="5"/>
    <n v="78"/>
    <n v="18"/>
    <n v="18.8"/>
    <x v="2"/>
    <n v="590"/>
    <n v="245"/>
    <n v="10620"/>
    <n v="19110"/>
    <n v="18.800070999999999"/>
    <s v="DR-4108|מחסן אונליין"/>
  </r>
  <r>
    <s v="JK-5501"/>
    <s v="מעיל חורף מרופד"/>
    <s v="XL"/>
    <x v="3"/>
    <x v="5"/>
    <n v="33"/>
    <n v="19"/>
    <n v="7.5"/>
    <x v="0"/>
    <n v="449"/>
    <n v="189"/>
    <n v="8531"/>
    <n v="6237"/>
    <n v="7.5000720000000003"/>
    <s v="JK-5501|מחסן אונליין"/>
  </r>
  <r>
    <s v="JK-5504"/>
    <s v="ג׳קט ג׳ינס"/>
    <s v="M"/>
    <x v="3"/>
    <x v="5"/>
    <n v="11"/>
    <n v="20"/>
    <n v="2.4"/>
    <x v="4"/>
    <n v="379"/>
    <n v="154"/>
    <n v="7580"/>
    <n v="1694"/>
    <n v="2.4000729999999999"/>
    <s v="JK-5504|מחסן אונליין"/>
  </r>
  <r>
    <s v="AC-6001"/>
    <s v="חגורת עור"/>
    <s v="יחיד"/>
    <x v="4"/>
    <x v="5"/>
    <n v="94"/>
    <n v="39"/>
    <n v="10.4"/>
    <x v="0"/>
    <n v="119"/>
    <n v="42"/>
    <n v="4641"/>
    <n v="3948"/>
    <n v="10.400074"/>
    <s v="AC-6001|מחסן אונליין"/>
  </r>
  <r>
    <s v="AC-6014"/>
    <s v="צעיף צמר"/>
    <s v="יחיד"/>
    <x v="4"/>
    <x v="5"/>
    <n v="41"/>
    <n v="13"/>
    <n v="13.7"/>
    <x v="2"/>
    <n v="99"/>
    <n v="38.5"/>
    <n v="1287"/>
    <n v="1578.5"/>
    <n v="13.700075"/>
    <s v="AC-6014|מחסן אונליין"/>
  </r>
  <r>
    <s v="SK-7203"/>
    <s v="חצאית מידי"/>
    <s v="S"/>
    <x v="5"/>
    <x v="5"/>
    <n v="15"/>
    <n v="33"/>
    <n v="2"/>
    <x v="4"/>
    <n v="199"/>
    <n v="78"/>
    <n v="6567"/>
    <n v="1170"/>
    <n v="2.000076"/>
    <s v="SK-7203|מחסן אונליין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E9A474-4AB0-44AA-8B28-9120FC12FF67}" name="Pivot_מלאי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8:H25" firstHeaderRow="1" firstDataRow="2" firstDataCol="1"/>
  <pivotFields count="15">
    <pivotField showAll="0"/>
    <pivotField showAll="0"/>
    <pivotField showAll="0"/>
    <pivotField showAll="0"/>
    <pivotField axis="axisCol" showAll="0">
      <items count="7">
        <item x="0"/>
        <item x="2"/>
        <item x="5"/>
        <item x="3"/>
        <item x="1"/>
        <item x="4"/>
        <item t="default"/>
      </items>
    </pivotField>
    <pivotField numFmtId="3" showAll="0"/>
    <pivotField numFmtId="3" showAll="0"/>
    <pivotField numFmtId="166" showAll="0"/>
    <pivotField axis="axisRow" showAll="0">
      <items count="6">
        <item x="3"/>
        <item x="4"/>
        <item x="2"/>
        <item x="1"/>
        <item x="0"/>
        <item t="default"/>
      </items>
    </pivotField>
    <pivotField numFmtId="167" showAll="0"/>
    <pivotField numFmtId="167" showAll="0"/>
    <pivotField numFmtId="165" showAll="0"/>
    <pivotField dataField="1" numFmtId="165" showAll="0"/>
    <pivotField numFmtId="168" showAll="0"/>
    <pivotField showAll="0"/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סה״כ שווי (₪)" fld="12" baseField="0" baseItem="0" numFmtId="3"/>
  </dataFields>
  <formats count="10">
    <format dxfId="19">
      <pivotArea type="all" dataOnly="0" outline="0" fieldPosition="0"/>
    </format>
    <format dxfId="18">
      <pivotArea outline="0" collapsedLevelsAreSubtotals="1" fieldPosition="0"/>
    </format>
    <format dxfId="17">
      <pivotArea type="origin" dataOnly="0" labelOnly="1" outline="0" fieldPosition="0"/>
    </format>
    <format dxfId="16">
      <pivotArea field="4" type="button" dataOnly="0" labelOnly="1" outline="0" axis="axisCol" fieldPosition="0"/>
    </format>
    <format dxfId="15">
      <pivotArea type="topRight" dataOnly="0" labelOnly="1" outline="0" fieldPosition="0"/>
    </format>
    <format dxfId="14">
      <pivotArea field="8" type="button" dataOnly="0" labelOnly="1" outline="0" axis="axisRow" fieldPosition="0"/>
    </format>
    <format dxfId="13">
      <pivotArea dataOnly="0" labelOnly="1" fieldPosition="0">
        <references count="1">
          <reference field="8" count="0"/>
        </references>
      </pivotArea>
    </format>
    <format dxfId="12">
      <pivotArea dataOnly="0" labelOnly="1" grandRow="1" outline="0" fieldPosition="0"/>
    </format>
    <format dxfId="11">
      <pivotArea dataOnly="0" labelOnly="1" fieldPosition="0">
        <references count="1">
          <reference field="4" count="0"/>
        </references>
      </pivotArea>
    </format>
    <format dxfId="1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C093C9-35DC-4B22-84CB-1734F931C250}" name="Pivot_מכירות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H13" firstHeaderRow="1" firstDataRow="2" firstDataCol="1"/>
  <pivotFields count="15">
    <pivotField showAll="0"/>
    <pivotField showAll="0"/>
    <pivotField showAll="0"/>
    <pivotField axis="axisRow" showAll="0">
      <items count="7">
        <item x="4"/>
        <item x="0"/>
        <item x="5"/>
        <item x="1"/>
        <item x="3"/>
        <item x="2"/>
        <item t="default"/>
      </items>
    </pivotField>
    <pivotField axis="axisCol" showAll="0">
      <items count="7">
        <item x="0"/>
        <item x="2"/>
        <item x="5"/>
        <item x="3"/>
        <item x="1"/>
        <item x="4"/>
        <item t="default"/>
      </items>
    </pivotField>
    <pivotField numFmtId="3" showAll="0"/>
    <pivotField numFmtId="3" showAll="0"/>
    <pivotField numFmtId="166" showAll="0"/>
    <pivotField showAll="0"/>
    <pivotField numFmtId="167" showAll="0"/>
    <pivotField numFmtId="167" showAll="0"/>
    <pivotField dataField="1" numFmtId="165" showAll="0"/>
    <pivotField numFmtId="165" showAll="0"/>
    <pivotField numFmtId="168" showAll="0"/>
    <pivotField showAll="0"/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4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סה״כ מכירות (₪)" fld="11" baseField="0" baseItem="0" numFmtId="3"/>
  </dataFields>
  <formats count="10">
    <format dxfId="9">
      <pivotArea type="all" dataOnly="0" outline="0" fieldPosition="0"/>
    </format>
    <format dxfId="8">
      <pivotArea outline="0" collapsedLevelsAreSubtotals="1" fieldPosition="0"/>
    </format>
    <format dxfId="7">
      <pivotArea type="origin" dataOnly="0" labelOnly="1" outline="0" fieldPosition="0"/>
    </format>
    <format dxfId="6">
      <pivotArea field="4" type="button" dataOnly="0" labelOnly="1" outline="0" axis="axisCol" fieldPosition="0"/>
    </format>
    <format dxfId="5">
      <pivotArea type="topRight" dataOnly="0" labelOnly="1" outline="0" fieldPosition="0"/>
    </format>
    <format dxfId="4">
      <pivotArea field="3" type="button" dataOnly="0" labelOnly="1" outline="0" axis="axisRow" fieldPosition="0"/>
    </format>
    <format dxfId="3">
      <pivotArea dataOnly="0" labelOnly="1" fieldPosition="0">
        <references count="1">
          <reference field="3" count="0"/>
        </references>
      </pivotArea>
    </format>
    <format dxfId="2">
      <pivotArea dataOnly="0" labelOnly="1" grandRow="1" outline="0" fieldPosition="0"/>
    </format>
    <format dxfId="1">
      <pivotArea dataOnly="0" labelOnly="1" fieldPosition="0">
        <references count="1">
          <reference field="4" count="0"/>
        </references>
      </pivotArea>
    </format>
    <format dxfId="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טבלת_מלאי" displayName="טבלת_מלאי" ref="A4:O76">
  <autoFilter ref="A4:O76" xr:uid="{00000000-0009-0000-0100-000001000000}"/>
  <tableColumns count="15">
    <tableColumn id="1" xr3:uid="{00000000-0010-0000-0000-000001000000}" name="מק״ט"/>
    <tableColumn id="2" xr3:uid="{00000000-0010-0000-0000-000002000000}" name="פריט"/>
    <tableColumn id="3" xr3:uid="{00000000-0010-0000-0000-000003000000}" name="מידה"/>
    <tableColumn id="4" xr3:uid="{00000000-0010-0000-0000-000004000000}" name="קטגוריה"/>
    <tableColumn id="5" xr3:uid="{00000000-0010-0000-0000-000005000000}" name="חנות"/>
    <tableColumn id="6" xr3:uid="{00000000-0010-0000-0000-000006000000}" name="מלאי (יח׳)"/>
    <tableColumn id="7" xr3:uid="{00000000-0010-0000-0000-000007000000}" name="מכירות בחודש (יח׳)"/>
    <tableColumn id="8" xr3:uid="{00000000-0010-0000-0000-000008000000}" name="שבועות כיסוי"/>
    <tableColumn id="9" xr3:uid="{00000000-0010-0000-0000-000009000000}" name="סטטוס"/>
    <tableColumn id="10" xr3:uid="{00000000-0010-0000-0000-00000A000000}" name="מחיר מכירה"/>
    <tableColumn id="11" xr3:uid="{00000000-0010-0000-0000-00000B000000}" name="עלות ליחידה"/>
    <tableColumn id="12" xr3:uid="{00000000-0010-0000-0000-00000C000000}" name="מכירות בחודש (₪)"/>
    <tableColumn id="13" xr3:uid="{00000000-0010-0000-0000-00000D000000}" name="שווי מלאי (₪)"/>
    <tableColumn id="14" xr3:uid="{00000000-0010-0000-0000-00000E000000}" name="מפתח מיון"/>
    <tableColumn id="15" xr3:uid="{00000000-0010-0000-0000-00000F000000}" name="מפתח חיפוש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טבלת_חנויות" displayName="טבלת_חנויות" ref="A4:H10">
  <autoFilter ref="A4:H10" xr:uid="{00000000-0009-0000-0100-000002000000}"/>
  <tableColumns count="8">
    <tableColumn id="1" xr3:uid="{00000000-0010-0000-0100-000001000000}" name="חנות"/>
    <tableColumn id="2" xr3:uid="{00000000-0010-0000-0100-000002000000}" name="מכירות בחודש (₪)"/>
    <tableColumn id="3" xr3:uid="{00000000-0010-0000-0100-000003000000}" name="שווי מלאי (₪)"/>
    <tableColumn id="4" xr3:uid="{00000000-0010-0000-0100-000004000000}" name="פריטים שאזלו"/>
    <tableColumn id="5" xr3:uid="{00000000-0010-0000-0100-000005000000}" name="פריטים קריטיים"/>
    <tableColumn id="6" xr3:uid="{00000000-0010-0000-0100-000006000000}" name="שבועות כיסוי ממוצע"/>
    <tableColumn id="7" xr3:uid="{00000000-0010-0000-0100-000007000000}" name="סבב מלאי חודשי"/>
    <tableColumn id="8" xr3:uid="{00000000-0010-0000-0100-000008000000}" name="דירוג מכירות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טבלת_תזרים" displayName="טבלת_תזרים" ref="A4:F16">
  <autoFilter ref="A4:F16" xr:uid="{00000000-0009-0000-0100-000003000000}"/>
  <tableColumns count="6">
    <tableColumn id="1" xr3:uid="{00000000-0010-0000-0200-000001000000}" name="חודש"/>
    <tableColumn id="2" xr3:uid="{00000000-0010-0000-0200-000002000000}" name="תאריך סוף חודש"/>
    <tableColumn id="3" xr3:uid="{00000000-0010-0000-0200-000003000000}" name="תקבולים"/>
    <tableColumn id="4" xr3:uid="{00000000-0010-0000-0200-000004000000}" name="תשלומים"/>
    <tableColumn id="5" xr3:uid="{00000000-0010-0000-0200-000005000000}" name="תזרים נטו"/>
    <tableColumn id="6" xr3:uid="{00000000-0010-0000-0200-000006000000}" name="יתרה בקופה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B9C63-B31D-4E54-8085-891B2E11AB0D}">
  <dimension ref="A1:H28"/>
  <sheetViews>
    <sheetView showGridLines="0" rightToLeft="1" workbookViewId="0">
      <pane ySplit="2" topLeftCell="A3" activePane="bottomLeft" state="frozenSplit"/>
      <selection pane="bottomLeft"/>
    </sheetView>
  </sheetViews>
  <sheetFormatPr defaultRowHeight="14.25" x14ac:dyDescent="0.2"/>
  <cols>
    <col min="1" max="1" width="60.625" bestFit="1" customWidth="1"/>
    <col min="2" max="2" width="16.125" bestFit="1" customWidth="1"/>
    <col min="3" max="4" width="11.625" customWidth="1"/>
    <col min="5" max="5" width="13.75" bestFit="1" customWidth="1"/>
    <col min="6" max="6" width="11.625" customWidth="1"/>
    <col min="7" max="7" width="15.625" bestFit="1" customWidth="1"/>
    <col min="8" max="8" width="11.625" customWidth="1"/>
  </cols>
  <sheetData>
    <row r="1" spans="1:8" ht="23.25" x14ac:dyDescent="0.35">
      <c r="A1" s="46" t="s">
        <v>171</v>
      </c>
      <c r="B1" s="47"/>
      <c r="C1" s="47"/>
      <c r="D1" s="47"/>
      <c r="E1" s="47"/>
      <c r="F1" s="47"/>
      <c r="G1" s="47"/>
      <c r="H1" s="47"/>
    </row>
    <row r="2" spans="1:8" x14ac:dyDescent="0.2">
      <c r="A2" s="48" t="s">
        <v>172</v>
      </c>
      <c r="B2" s="47"/>
      <c r="C2" s="47"/>
      <c r="D2" s="47"/>
      <c r="E2" s="47"/>
      <c r="F2" s="47"/>
      <c r="G2" s="47"/>
      <c r="H2" s="47"/>
    </row>
    <row r="3" spans="1:8" x14ac:dyDescent="0.2">
      <c r="A3" s="47"/>
      <c r="B3" s="47"/>
      <c r="C3" s="47"/>
      <c r="D3" s="47"/>
      <c r="E3" s="47"/>
      <c r="F3" s="47"/>
      <c r="G3" s="47"/>
      <c r="H3" s="47"/>
    </row>
    <row r="4" spans="1:8" ht="15.75" x14ac:dyDescent="0.25">
      <c r="A4" s="49" t="s">
        <v>173</v>
      </c>
      <c r="B4" s="47"/>
      <c r="C4" s="47"/>
      <c r="D4" s="47"/>
      <c r="E4" s="47"/>
      <c r="F4" s="47"/>
      <c r="G4" s="47"/>
      <c r="H4" s="47"/>
    </row>
    <row r="5" spans="1:8" x14ac:dyDescent="0.2">
      <c r="A5" s="50" t="s">
        <v>177</v>
      </c>
      <c r="B5" s="50" t="s">
        <v>176</v>
      </c>
      <c r="C5" s="47"/>
      <c r="D5" s="47"/>
      <c r="E5" s="47"/>
      <c r="F5" s="47"/>
      <c r="G5" s="47"/>
      <c r="H5" s="47"/>
    </row>
    <row r="6" spans="1:8" x14ac:dyDescent="0.2">
      <c r="A6" s="50" t="s">
        <v>174</v>
      </c>
      <c r="B6" s="47" t="s">
        <v>26</v>
      </c>
      <c r="C6" s="47" t="s">
        <v>31</v>
      </c>
      <c r="D6" s="47" t="s">
        <v>39</v>
      </c>
      <c r="E6" s="47" t="s">
        <v>34</v>
      </c>
      <c r="F6" s="47" t="s">
        <v>29</v>
      </c>
      <c r="G6" s="47" t="s">
        <v>36</v>
      </c>
      <c r="H6" s="47" t="s">
        <v>175</v>
      </c>
    </row>
    <row r="7" spans="1:8" x14ac:dyDescent="0.2">
      <c r="A7" s="51" t="s">
        <v>125</v>
      </c>
      <c r="B7" s="52">
        <v>10032</v>
      </c>
      <c r="C7" s="52">
        <v>3885</v>
      </c>
      <c r="D7" s="52">
        <v>5928</v>
      </c>
      <c r="E7" s="52">
        <v>9336</v>
      </c>
      <c r="F7" s="52">
        <v>9576</v>
      </c>
      <c r="G7" s="52">
        <v>6166</v>
      </c>
      <c r="H7" s="52">
        <v>44923</v>
      </c>
    </row>
    <row r="8" spans="1:8" x14ac:dyDescent="0.2">
      <c r="A8" s="51" t="s">
        <v>107</v>
      </c>
      <c r="B8" s="52">
        <v>40162.400000000001</v>
      </c>
      <c r="C8" s="52">
        <v>20562.2</v>
      </c>
      <c r="D8" s="52">
        <v>29815.200000000001</v>
      </c>
      <c r="E8" s="52">
        <v>48774.9</v>
      </c>
      <c r="F8" s="52">
        <v>39254.300000000003</v>
      </c>
      <c r="G8" s="52">
        <v>30664.9</v>
      </c>
      <c r="H8" s="52">
        <v>209233.9</v>
      </c>
    </row>
    <row r="9" spans="1:8" x14ac:dyDescent="0.2">
      <c r="A9" s="51" t="s">
        <v>128</v>
      </c>
      <c r="B9" s="52">
        <v>5174</v>
      </c>
      <c r="C9" s="52">
        <v>3781</v>
      </c>
      <c r="D9" s="52">
        <v>6567</v>
      </c>
      <c r="E9" s="52">
        <v>8955</v>
      </c>
      <c r="F9" s="52">
        <v>5373</v>
      </c>
      <c r="G9" s="52">
        <v>6965</v>
      </c>
      <c r="H9" s="52">
        <v>36815</v>
      </c>
    </row>
    <row r="10" spans="1:8" x14ac:dyDescent="0.2">
      <c r="A10" s="51" t="s">
        <v>112</v>
      </c>
      <c r="B10" s="52">
        <v>49302</v>
      </c>
      <c r="C10" s="52">
        <v>23157</v>
      </c>
      <c r="D10" s="52">
        <v>29133</v>
      </c>
      <c r="E10" s="52">
        <v>38346</v>
      </c>
      <c r="F10" s="52">
        <v>33366</v>
      </c>
      <c r="G10" s="52">
        <v>30378</v>
      </c>
      <c r="H10" s="52">
        <v>203682</v>
      </c>
    </row>
    <row r="11" spans="1:8" x14ac:dyDescent="0.2">
      <c r="A11" s="51" t="s">
        <v>121</v>
      </c>
      <c r="B11" s="52">
        <v>27254</v>
      </c>
      <c r="C11" s="52">
        <v>18525</v>
      </c>
      <c r="D11" s="52">
        <v>16111</v>
      </c>
      <c r="E11" s="52">
        <v>31930</v>
      </c>
      <c r="F11" s="52">
        <v>26805</v>
      </c>
      <c r="G11" s="52">
        <v>25207</v>
      </c>
      <c r="H11" s="52">
        <v>145832</v>
      </c>
    </row>
    <row r="12" spans="1:8" x14ac:dyDescent="0.2">
      <c r="A12" s="51" t="s">
        <v>117</v>
      </c>
      <c r="B12" s="52">
        <v>29386</v>
      </c>
      <c r="C12" s="52">
        <v>14549</v>
      </c>
      <c r="D12" s="52">
        <v>17874</v>
      </c>
      <c r="E12" s="52">
        <v>33379</v>
      </c>
      <c r="F12" s="52">
        <v>19946</v>
      </c>
      <c r="G12" s="52">
        <v>25965</v>
      </c>
      <c r="H12" s="52">
        <v>141099</v>
      </c>
    </row>
    <row r="13" spans="1:8" x14ac:dyDescent="0.2">
      <c r="A13" s="51" t="s">
        <v>175</v>
      </c>
      <c r="B13" s="52">
        <v>161310.39999999999</v>
      </c>
      <c r="C13" s="52">
        <v>84459.199999999997</v>
      </c>
      <c r="D13" s="52">
        <v>105428.2</v>
      </c>
      <c r="E13" s="52">
        <v>170720.9</v>
      </c>
      <c r="F13" s="52">
        <v>134320.29999999999</v>
      </c>
      <c r="G13" s="52">
        <v>125345.9</v>
      </c>
      <c r="H13" s="52">
        <v>781584.9</v>
      </c>
    </row>
    <row r="14" spans="1:8" x14ac:dyDescent="0.2">
      <c r="A14" s="47"/>
      <c r="B14" s="47"/>
      <c r="C14" s="47"/>
      <c r="D14" s="47"/>
      <c r="E14" s="47"/>
      <c r="F14" s="47"/>
      <c r="G14" s="47"/>
      <c r="H14" s="47"/>
    </row>
    <row r="15" spans="1:8" x14ac:dyDescent="0.2">
      <c r="A15" s="47"/>
      <c r="B15" s="47"/>
      <c r="C15" s="47"/>
      <c r="D15" s="47"/>
      <c r="E15" s="47"/>
      <c r="F15" s="47"/>
      <c r="G15" s="47"/>
      <c r="H15" s="47"/>
    </row>
    <row r="16" spans="1:8" x14ac:dyDescent="0.2">
      <c r="A16" s="47"/>
      <c r="B16" s="47"/>
      <c r="C16" s="47"/>
      <c r="D16" s="47"/>
      <c r="E16" s="47"/>
      <c r="F16" s="47"/>
      <c r="G16" s="47"/>
      <c r="H16" s="47"/>
    </row>
    <row r="17" spans="1:8" ht="15.75" x14ac:dyDescent="0.25">
      <c r="A17" s="49" t="s">
        <v>178</v>
      </c>
      <c r="B17" s="47"/>
      <c r="C17" s="47"/>
      <c r="D17" s="47"/>
      <c r="E17" s="47"/>
      <c r="F17" s="47"/>
      <c r="G17" s="47"/>
      <c r="H17" s="47"/>
    </row>
    <row r="18" spans="1:8" x14ac:dyDescent="0.2">
      <c r="A18" s="50" t="s">
        <v>184</v>
      </c>
      <c r="B18" s="50" t="s">
        <v>176</v>
      </c>
      <c r="C18" s="47"/>
      <c r="D18" s="47"/>
      <c r="E18" s="47"/>
      <c r="F18" s="47"/>
      <c r="G18" s="47"/>
      <c r="H18" s="47"/>
    </row>
    <row r="19" spans="1:8" x14ac:dyDescent="0.2">
      <c r="A19" s="50" t="s">
        <v>174</v>
      </c>
      <c r="B19" s="47" t="s">
        <v>26</v>
      </c>
      <c r="C19" s="47" t="s">
        <v>31</v>
      </c>
      <c r="D19" s="47" t="s">
        <v>39</v>
      </c>
      <c r="E19" s="47" t="s">
        <v>34</v>
      </c>
      <c r="F19" s="47" t="s">
        <v>29</v>
      </c>
      <c r="G19" s="47" t="s">
        <v>36</v>
      </c>
      <c r="H19" s="47" t="s">
        <v>175</v>
      </c>
    </row>
    <row r="20" spans="1:8" x14ac:dyDescent="0.2">
      <c r="A20" s="51" t="s">
        <v>179</v>
      </c>
      <c r="B20" s="52">
        <v>1447.5</v>
      </c>
      <c r="C20" s="52"/>
      <c r="D20" s="52">
        <v>1061.5</v>
      </c>
      <c r="E20" s="52">
        <v>1833.5</v>
      </c>
      <c r="F20" s="52">
        <v>579</v>
      </c>
      <c r="G20" s="52">
        <v>1351</v>
      </c>
      <c r="H20" s="52">
        <v>6272.5</v>
      </c>
    </row>
    <row r="21" spans="1:8" x14ac:dyDescent="0.2">
      <c r="A21" s="51" t="s">
        <v>180</v>
      </c>
      <c r="B21" s="52"/>
      <c r="C21" s="52">
        <v>6774</v>
      </c>
      <c r="D21" s="52">
        <v>4544</v>
      </c>
      <c r="E21" s="52">
        <v>16606.099999999999</v>
      </c>
      <c r="F21" s="52">
        <v>4466</v>
      </c>
      <c r="G21" s="52">
        <v>13073</v>
      </c>
      <c r="H21" s="52">
        <v>45463.1</v>
      </c>
    </row>
    <row r="22" spans="1:8" x14ac:dyDescent="0.2">
      <c r="A22" s="51" t="s">
        <v>181</v>
      </c>
      <c r="B22" s="52">
        <v>73082</v>
      </c>
      <c r="C22" s="52">
        <v>17768.5</v>
      </c>
      <c r="D22" s="52">
        <v>41629</v>
      </c>
      <c r="E22" s="52">
        <v>35357</v>
      </c>
      <c r="F22" s="52">
        <v>39916</v>
      </c>
      <c r="G22" s="52">
        <v>46309.5</v>
      </c>
      <c r="H22" s="52">
        <v>254062</v>
      </c>
    </row>
    <row r="23" spans="1:8" x14ac:dyDescent="0.2">
      <c r="A23" s="51" t="s">
        <v>182</v>
      </c>
      <c r="B23" s="52">
        <v>5082</v>
      </c>
      <c r="C23" s="52">
        <v>1316.7</v>
      </c>
      <c r="D23" s="52">
        <v>1419.3</v>
      </c>
      <c r="E23" s="52"/>
      <c r="F23" s="52">
        <v>2370.3000000000002</v>
      </c>
      <c r="G23" s="52">
        <v>1618.5</v>
      </c>
      <c r="H23" s="52">
        <v>11806.8</v>
      </c>
    </row>
    <row r="24" spans="1:8" x14ac:dyDescent="0.2">
      <c r="A24" s="51" t="s">
        <v>183</v>
      </c>
      <c r="B24" s="52">
        <v>22665.7</v>
      </c>
      <c r="C24" s="52">
        <v>22726.9</v>
      </c>
      <c r="D24" s="52">
        <v>18227.900000000001</v>
      </c>
      <c r="E24" s="52">
        <v>43397</v>
      </c>
      <c r="F24" s="52">
        <v>33822.6</v>
      </c>
      <c r="G24" s="52">
        <v>14228.9</v>
      </c>
      <c r="H24" s="52">
        <v>155069</v>
      </c>
    </row>
    <row r="25" spans="1:8" x14ac:dyDescent="0.2">
      <c r="A25" s="51" t="s">
        <v>175</v>
      </c>
      <c r="B25" s="52">
        <v>102277.2</v>
      </c>
      <c r="C25" s="52">
        <v>48586.100000000006</v>
      </c>
      <c r="D25" s="52">
        <v>66881.700000000012</v>
      </c>
      <c r="E25" s="52">
        <v>97193.600000000006</v>
      </c>
      <c r="F25" s="52">
        <v>81153.899999999994</v>
      </c>
      <c r="G25" s="52">
        <v>76580.899999999994</v>
      </c>
      <c r="H25" s="52">
        <v>472673.39999999997</v>
      </c>
    </row>
    <row r="26" spans="1:8" x14ac:dyDescent="0.2">
      <c r="A26" s="47"/>
      <c r="B26" s="47"/>
      <c r="C26" s="47"/>
      <c r="D26" s="47"/>
      <c r="E26" s="47"/>
      <c r="F26" s="47"/>
      <c r="G26" s="47"/>
      <c r="H26" s="47"/>
    </row>
    <row r="27" spans="1:8" x14ac:dyDescent="0.2">
      <c r="A27" s="47"/>
      <c r="B27" s="47"/>
      <c r="C27" s="47"/>
      <c r="D27" s="47"/>
      <c r="E27" s="47"/>
      <c r="F27" s="47"/>
      <c r="G27" s="47"/>
      <c r="H27" s="47"/>
    </row>
    <row r="28" spans="1:8" x14ac:dyDescent="0.2">
      <c r="A28" s="53" t="s">
        <v>185</v>
      </c>
      <c r="B28" s="47"/>
      <c r="C28" s="47"/>
      <c r="D28" s="47"/>
      <c r="E28" s="47"/>
      <c r="F28" s="47"/>
      <c r="G28" s="47"/>
      <c r="H28" s="4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"/>
  <sheetViews>
    <sheetView showGridLines="0" rightToLeft="1" tabSelected="1" workbookViewId="0"/>
  </sheetViews>
  <sheetFormatPr defaultRowHeight="14.25" x14ac:dyDescent="0.2"/>
  <cols>
    <col min="1" max="14" width="15" customWidth="1"/>
  </cols>
  <sheetData>
    <row r="1" spans="1:14" ht="30" customHeight="1" x14ac:dyDescent="0.2">
      <c r="A1" s="1" t="s">
        <v>0</v>
      </c>
    </row>
    <row r="2" spans="1:14" ht="15.95" customHeight="1" x14ac:dyDescent="0.2">
      <c r="A2" s="2" t="s">
        <v>1</v>
      </c>
    </row>
    <row r="4" spans="1:14" ht="24" customHeight="1" x14ac:dyDescent="0.2">
      <c r="A4" s="3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6" spans="1:14" ht="18" customHeight="1" x14ac:dyDescent="0.2">
      <c r="A6" s="5" t="s">
        <v>3</v>
      </c>
      <c r="B6" s="6"/>
      <c r="C6" s="6"/>
      <c r="D6" s="5" t="s">
        <v>4</v>
      </c>
      <c r="E6" s="6"/>
      <c r="F6" s="6"/>
      <c r="G6" s="5" t="s">
        <v>5</v>
      </c>
      <c r="H6" s="6"/>
      <c r="I6" s="6"/>
    </row>
    <row r="7" spans="1:14" ht="27.95" customHeight="1" x14ac:dyDescent="0.2">
      <c r="A7" s="7">
        <f>'סיכום חנויות'!B11</f>
        <v>781584.89999999991</v>
      </c>
      <c r="B7" s="6"/>
      <c r="C7" s="6"/>
      <c r="D7" s="7">
        <f>'סיכום חנויות'!C11</f>
        <v>472673.39999999997</v>
      </c>
      <c r="E7" s="6"/>
      <c r="F7" s="6"/>
      <c r="G7" s="8">
        <f>'סיכום חנויות'!D11+'סיכום חנויות'!E11</f>
        <v>14</v>
      </c>
      <c r="H7" s="6"/>
      <c r="I7" s="6"/>
    </row>
    <row r="8" spans="1:14" ht="15.95" customHeight="1" x14ac:dyDescent="0.2">
      <c r="A8" s="9" t="s">
        <v>6</v>
      </c>
      <c r="B8" s="6"/>
      <c r="C8" s="6"/>
      <c r="D8" s="9" t="s">
        <v>7</v>
      </c>
      <c r="E8" s="6"/>
      <c r="F8" s="6"/>
      <c r="G8" s="9" t="s">
        <v>8</v>
      </c>
      <c r="H8" s="6"/>
      <c r="I8" s="6"/>
    </row>
    <row r="10" spans="1:14" ht="18" customHeight="1" x14ac:dyDescent="0.2">
      <c r="A10" s="5" t="s">
        <v>9</v>
      </c>
      <c r="B10" s="6"/>
      <c r="C10" s="6"/>
      <c r="D10" s="5" t="s">
        <v>10</v>
      </c>
      <c r="E10" s="6"/>
      <c r="F10" s="6"/>
      <c r="G10" s="5" t="s">
        <v>11</v>
      </c>
      <c r="H10" s="6"/>
      <c r="I10" s="6"/>
    </row>
    <row r="11" spans="1:14" ht="27.95" customHeight="1" x14ac:dyDescent="0.2">
      <c r="A11" s="7">
        <f>'רווח והפסד'!N11</f>
        <v>758487.3822203388</v>
      </c>
      <c r="B11" s="6"/>
      <c r="C11" s="6"/>
      <c r="D11" s="10">
        <f>'רווח והפסד'!N9/'רווח והפסד'!N7</f>
        <v>0.57999999999999996</v>
      </c>
      <c r="E11" s="6"/>
      <c r="F11" s="6"/>
      <c r="G11" s="7">
        <f>'תזרים מזומנים'!F16</f>
        <v>2630369.6732542375</v>
      </c>
      <c r="H11" s="6"/>
      <c r="I11" s="6"/>
    </row>
    <row r="12" spans="1:14" ht="15.95" customHeight="1" x14ac:dyDescent="0.2">
      <c r="A12" s="9" t="s">
        <v>12</v>
      </c>
      <c r="B12" s="6"/>
      <c r="C12" s="6"/>
      <c r="D12" s="9" t="s">
        <v>13</v>
      </c>
      <c r="E12" s="6"/>
      <c r="F12" s="6"/>
      <c r="G12" s="9" t="s">
        <v>14</v>
      </c>
      <c r="H12" s="6"/>
      <c r="I12" s="6"/>
    </row>
    <row r="14" spans="1:14" ht="24" customHeight="1" x14ac:dyDescent="0.2">
      <c r="A14" s="3" t="s">
        <v>15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6" spans="1:14" ht="20.100000000000001" customHeight="1" x14ac:dyDescent="0.2">
      <c r="A16" s="11" t="str">
        <f>"1. החנות המובילה: "&amp;INDEX('סיכום חנויות'!$A$5:$A$10,MATCH(MAX('סיכום חנויות'!$B$5:$B$10),'סיכום חנויות'!$B$5:$B$10,0))&amp;" — "&amp;TEXT(MAX('סיכום חנויות'!$B$5:$B$10),"#,##0")&amp;" ש""ח בחודש."</f>
        <v>1. החנות המובילה: עזריאלי תל אביב — 170,721 ש"ח בחודש.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</row>
    <row r="17" spans="1:14" ht="20.100000000000001" customHeight="1" x14ac:dyDescent="0.2">
      <c r="A17" s="11" t="str">
        <f>"2. החנות החלשה ביותר: "&amp;INDEX('סיכום חנויות'!$A$5:$A$10,MATCH(MIN('סיכום חנויות'!$B$5:$B$10),'סיכום חנויות'!$B$5:$B$10,0))&amp;" — "&amp;TEXT(MIN('סיכום חנויות'!$B$5:$B$10),"#,##0")&amp;" ש""ח בחודש. פער של "&amp;TEXT(MAX('סיכום חנויות'!$B$5:$B$10)/MIN('סיכום חנויות'!$B$5:$B$10),"0.0")&amp;" מהחנות המובילה."</f>
        <v>2. החנות החלשה ביותר: חיפה — הדר — 84,459 ש"ח בחודש. פער של 2.0 מהחנות המובילה.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ht="20.100000000000001" customHeight="1" x14ac:dyDescent="0.2">
      <c r="A18" s="11" t="str">
        <f>"3. הפריט שנגמר הכי מהר: "&amp;INDEX('מלאי לפי חנות'!$B$5:$B$76,MATCH(MIN('מלאי לפי חנות'!$N$5:$N$76),'מלאי לפי חנות'!$N$5:$N$76,0))&amp;" מידה "&amp;INDEX('מלאי לפי חנות'!$C$5:$C$76,MATCH(MIN('מלאי לפי חנות'!$N$5:$N$76),'מלאי לפי חנות'!$N$5:$N$76,0))&amp;" ב"&amp;INDEX('מלאי לפי חנות'!$E$5:$E$76,MATCH(MIN('מלאי לפי חנות'!$N$5:$N$76),'מלאי לפי חנות'!$N$5:$N$76,0))&amp;" — נשארו "&amp;TEXT(MIN('מלאי לפי חנות'!$H$5:$H$76),"0.0")&amp;" שבועות מלאי."</f>
        <v>3. הפריט שנגמר הכי מהר: מכנסי ג׳ינס סלים מידה 32 בקניון הקריון — נשארו 0.5 שבועות מלאי.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</row>
    <row r="19" spans="1:14" ht="20.100000000000001" customHeight="1" x14ac:dyDescent="0.2">
      <c r="A19" s="11" t="str">
        <f>"4. "&amp;TEXT(COUNTIF('מלאי לפי חנות'!$I$5:$I$76,"אזל")+COUNTIF('מלאי לפי חנות'!$I$5:$I$76,"קריטי"),"0")&amp;" פריטים דורשים הזמנה מיידית, ו־"&amp;TEXT(COUNTIF('מלאי לפי חנות'!$I$5:$I$76,"נמוך"),"0")&amp;" פריטים מתקרבים לחוסר."</f>
        <v>4. 14 פריטים דורשים הזמנה מיידית, ו־15 פריטים מתקרבים לחוסר.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</row>
    <row r="20" spans="1:14" ht="20.100000000000001" customHeight="1" x14ac:dyDescent="0.2">
      <c r="A20" s="11" t="str">
        <f>"5. "&amp;TEXT(SUMIF('מלאי לפי חנות'!$I$5:$I$76,"עודף",'מלאי לפי חנות'!$M$5:$M$76),"#,##0")&amp;" ש""ח תקועים במלאי עודף — "&amp;TEXT(SUMIF('מלאי לפי חנות'!$I$5:$I$76,"עודף",'מלאי לפי חנות'!$M$5:$M$76)/SUM('מלאי לפי חנות'!$M$5:$M$76),"0%")&amp;" מכלל המלאי."</f>
        <v>5. 254,062 ש"ח תקועים במלאי עודף — 54% מכלל המלאי.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</row>
    <row r="21" spans="1:14" ht="20.100000000000001" customHeight="1" x14ac:dyDescent="0.2">
      <c r="A21" s="11" t="str">
        <f>"6. הרווח התפעולי הוא "&amp;TEXT('רווח והפסד'!N11/'רווח והפסד'!N7,"0.0%")&amp;" מההכנסות. "&amp;IF('רווח והפסד'!N11&lt;0,"החברה מפסידה.",IF('רווח והפסד'!N11/'רווח והפסד'!N7&lt;0.05,"זה שולי — כל ירידה במכירות תמחק אותו.","זה בריא."))</f>
        <v>6. הרווח התפעולי הוא 8.6% מההכנסות. זה בריא.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</row>
    <row r="23" spans="1:14" ht="24" customHeight="1" x14ac:dyDescent="0.2">
      <c r="A23" s="3" t="s">
        <v>16</v>
      </c>
      <c r="B23" s="4"/>
      <c r="C23" s="4"/>
      <c r="D23" s="4"/>
      <c r="E23" s="4"/>
      <c r="F23" s="4"/>
      <c r="G23" s="4"/>
      <c r="H23" s="4"/>
      <c r="I23" s="4"/>
    </row>
    <row r="24" spans="1:14" ht="48" customHeight="1" x14ac:dyDescent="0.2">
      <c r="A24" s="13" t="s">
        <v>17</v>
      </c>
      <c r="B24" s="13" t="s">
        <v>18</v>
      </c>
      <c r="C24" s="13" t="s">
        <v>19</v>
      </c>
      <c r="D24" s="13" t="s">
        <v>20</v>
      </c>
      <c r="E24" s="13" t="s">
        <v>21</v>
      </c>
      <c r="F24" s="13" t="s">
        <v>22</v>
      </c>
      <c r="G24" s="13" t="s">
        <v>23</v>
      </c>
    </row>
    <row r="25" spans="1:14" ht="20.100000000000001" customHeight="1" x14ac:dyDescent="0.2">
      <c r="A25" s="14" t="str">
        <f>INDEX('מלאי לפי חנות'!$E$5:$E$76,MATCH(SMALL('מלאי לפי חנות'!$N$5:$N$76,1),'מלאי לפי חנות'!$N$5:$N$76,0))</f>
        <v>קניון הקריון</v>
      </c>
      <c r="B25" s="15" t="str">
        <f>INDEX('מלאי לפי חנות'!$A$5:$A$76,MATCH(SMALL('מלאי לפי חנות'!$N$5:$N$76,1),'מלאי לפי חנות'!$N$5:$N$76,0))</f>
        <v>JN-3305</v>
      </c>
      <c r="C25" s="14" t="str">
        <f>INDEX('מלאי לפי חנות'!$B$5:$B$76,MATCH(SMALL('מלאי לפי חנות'!$N$5:$N$76,1),'מלאי לפי חנות'!$N$5:$N$76,0))</f>
        <v>מכנסי ג׳ינס סלים</v>
      </c>
      <c r="D25" s="15" t="str">
        <f>INDEX('מלאי לפי חנות'!$C$5:$C$76,MATCH(SMALL('מלאי לפי חנות'!$N$5:$N$76,1),'מלאי לפי חנות'!$N$5:$N$76,0))</f>
        <v>32</v>
      </c>
      <c r="E25" s="16">
        <f>INDEX('מלאי לפי חנות'!$F$5:$F$76,MATCH(SMALL('מלאי לפי חנות'!$N$5:$N$76,1),'מלאי לפי חנות'!$N$5:$N$76,0))</f>
        <v>6</v>
      </c>
      <c r="F25" s="17">
        <f>INDEX('מלאי לפי חנות'!$H$5:$H$76,MATCH(SMALL('מלאי לפי חנות'!$N$5:$N$76,1),'מלאי לפי חנות'!$N$5:$N$76,0))</f>
        <v>0.5</v>
      </c>
      <c r="G25" s="15" t="str">
        <f>INDEX('מלאי לפי חנות'!$I$5:$I$76,MATCH(SMALL('מלאי לפי חנות'!$N$5:$N$76,1),'מלאי לפי חנות'!$N$5:$N$76,0))</f>
        <v>אזל</v>
      </c>
    </row>
    <row r="26" spans="1:14" ht="20.100000000000001" customHeight="1" x14ac:dyDescent="0.2">
      <c r="A26" s="18" t="str">
        <f>INDEX('מלאי לפי חנות'!$E$5:$E$76,MATCH(SMALL('מלאי לפי חנות'!$N$5:$N$76,2),'מלאי לפי חנות'!$N$5:$N$76,0))</f>
        <v>גרנד קניון חיפה</v>
      </c>
      <c r="B26" s="19" t="str">
        <f>INDEX('מלאי לפי חנות'!$A$5:$A$76,MATCH(SMALL('מלאי לפי חנות'!$N$5:$N$76,2),'מלאי לפי חנות'!$N$5:$N$76,0))</f>
        <v>JN-3305</v>
      </c>
      <c r="C26" s="18" t="str">
        <f>INDEX('מלאי לפי חנות'!$B$5:$B$76,MATCH(SMALL('מלאי לפי חנות'!$N$5:$N$76,2),'מלאי לפי חנות'!$N$5:$N$76,0))</f>
        <v>מכנסי ג׳ינס סלים</v>
      </c>
      <c r="D26" s="19" t="str">
        <f>INDEX('מלאי לפי חנות'!$C$5:$C$76,MATCH(SMALL('מלאי לפי חנות'!$N$5:$N$76,2),'מלאי לפי חנות'!$N$5:$N$76,0))</f>
        <v>32</v>
      </c>
      <c r="E26" s="20">
        <f>INDEX('מלאי לפי חנות'!$F$5:$F$76,MATCH(SMALL('מלאי לפי חנות'!$N$5:$N$76,2),'מלאי לפי חנות'!$N$5:$N$76,0))</f>
        <v>15</v>
      </c>
      <c r="F26" s="21">
        <f>INDEX('מלאי לפי חנות'!$H$5:$H$76,MATCH(SMALL('מלאי לפי חנות'!$N$5:$N$76,2),'מלאי לפי חנות'!$N$5:$N$76,0))</f>
        <v>0.6</v>
      </c>
      <c r="G26" s="19" t="str">
        <f>INDEX('מלאי לפי חנות'!$I$5:$I$76,MATCH(SMALL('מלאי לפי חנות'!$N$5:$N$76,2),'מלאי לפי חנות'!$N$5:$N$76,0))</f>
        <v>אזל</v>
      </c>
    </row>
    <row r="27" spans="1:14" ht="20.100000000000001" customHeight="1" x14ac:dyDescent="0.2">
      <c r="A27" s="14" t="str">
        <f>INDEX('מלאי לפי חנות'!$E$5:$E$76,MATCH(SMALL('מלאי לפי חנות'!$N$5:$N$76,3),'מלאי לפי חנות'!$N$5:$N$76,0))</f>
        <v>מחסן אונליין</v>
      </c>
      <c r="B27" s="15" t="str">
        <f>INDEX('מלאי לפי חנות'!$A$5:$A$76,MATCH(SMALL('מלאי לפי חנות'!$N$5:$N$76,3),'מלאי לפי חנות'!$N$5:$N$76,0))</f>
        <v>JN-3305</v>
      </c>
      <c r="C27" s="14" t="str">
        <f>INDEX('מלאי לפי חנות'!$B$5:$B$76,MATCH(SMALL('מלאי לפי חנות'!$N$5:$N$76,3),'מלאי לפי חנות'!$N$5:$N$76,0))</f>
        <v>מכנסי ג׳ינס סלים</v>
      </c>
      <c r="D27" s="15" t="str">
        <f>INDEX('מלאי לפי חנות'!$C$5:$C$76,MATCH(SMALL('מלאי לפי חנות'!$N$5:$N$76,3),'מלאי לפי חנות'!$N$5:$N$76,0))</f>
        <v>32</v>
      </c>
      <c r="E27" s="16">
        <f>INDEX('מלאי לפי חנות'!$F$5:$F$76,MATCH(SMALL('מלאי לפי חנות'!$N$5:$N$76,3),'מלאי לפי חנות'!$N$5:$N$76,0))</f>
        <v>11</v>
      </c>
      <c r="F27" s="17">
        <f>INDEX('מלאי לפי חנות'!$H$5:$H$76,MATCH(SMALL('מלאי לפי חנות'!$N$5:$N$76,3),'מלאי לפי חנות'!$N$5:$N$76,0))</f>
        <v>0.7</v>
      </c>
      <c r="G27" s="15" t="str">
        <f>INDEX('מלאי לפי חנות'!$I$5:$I$76,MATCH(SMALL('מלאי לפי חנות'!$N$5:$N$76,3),'מלאי לפי חנות'!$N$5:$N$76,0))</f>
        <v>אזל</v>
      </c>
    </row>
    <row r="28" spans="1:14" ht="20.100000000000001" customHeight="1" x14ac:dyDescent="0.2">
      <c r="A28" s="18" t="str">
        <f>INDEX('מלאי לפי חנות'!$E$5:$E$76,MATCH(SMALL('מלאי לפי חנות'!$N$5:$N$76,4),'מלאי לפי חנות'!$N$5:$N$76,0))</f>
        <v>קניון מלחה ירושלים</v>
      </c>
      <c r="B28" s="19" t="str">
        <f>INDEX('מלאי לפי חנות'!$A$5:$A$76,MATCH(SMALL('מלאי לפי חנות'!$N$5:$N$76,4),'מלאי לפי חנות'!$N$5:$N$76,0))</f>
        <v>JN-3305</v>
      </c>
      <c r="C28" s="18" t="str">
        <f>INDEX('מלאי לפי חנות'!$B$5:$B$76,MATCH(SMALL('מלאי לפי חנות'!$N$5:$N$76,4),'מלאי לפי חנות'!$N$5:$N$76,0))</f>
        <v>מכנסי ג׳ינס סלים</v>
      </c>
      <c r="D28" s="19" t="str">
        <f>INDEX('מלאי לפי חנות'!$C$5:$C$76,MATCH(SMALL('מלאי לפי חנות'!$N$5:$N$76,4),'מלאי לפי חנות'!$N$5:$N$76,0))</f>
        <v>32</v>
      </c>
      <c r="E28" s="20">
        <f>INDEX('מלאי לפי חנות'!$F$5:$F$76,MATCH(SMALL('מלאי לפי חנות'!$N$5:$N$76,4),'מלאי לפי חנות'!$N$5:$N$76,0))</f>
        <v>14</v>
      </c>
      <c r="F28" s="21">
        <f>INDEX('מלאי לפי חנות'!$H$5:$H$76,MATCH(SMALL('מלאי לפי חנות'!$N$5:$N$76,4),'מלאי לפי חנות'!$N$5:$N$76,0))</f>
        <v>0.8</v>
      </c>
      <c r="G28" s="19" t="str">
        <f>INDEX('מלאי לפי חנות'!$I$5:$I$76,MATCH(SMALL('מלאי לפי חנות'!$N$5:$N$76,4),'מלאי לפי חנות'!$N$5:$N$76,0))</f>
        <v>אזל</v>
      </c>
    </row>
    <row r="29" spans="1:14" ht="20.100000000000001" customHeight="1" x14ac:dyDescent="0.2">
      <c r="A29" s="14" t="str">
        <f>INDEX('מלאי לפי חנות'!$E$5:$E$76,MATCH(SMALL('מלאי לפי חנות'!$N$5:$N$76,5),'מלאי לפי חנות'!$N$5:$N$76,0))</f>
        <v>עזריאלי תל אביב</v>
      </c>
      <c r="B29" s="15" t="str">
        <f>INDEX('מלאי לפי חנות'!$A$5:$A$76,MATCH(SMALL('מלאי לפי חנות'!$N$5:$N$76,5),'מלאי לפי חנות'!$N$5:$N$76,0))</f>
        <v>JN-3305</v>
      </c>
      <c r="C29" s="14" t="str">
        <f>INDEX('מלאי לפי חנות'!$B$5:$B$76,MATCH(SMALL('מלאי לפי חנות'!$N$5:$N$76,5),'מלאי לפי חנות'!$N$5:$N$76,0))</f>
        <v>מכנסי ג׳ינס סלים</v>
      </c>
      <c r="D29" s="15" t="str">
        <f>INDEX('מלאי לפי חנות'!$C$5:$C$76,MATCH(SMALL('מלאי לפי חנות'!$N$5:$N$76,5),'מלאי לפי חנות'!$N$5:$N$76,0))</f>
        <v>32</v>
      </c>
      <c r="E29" s="16">
        <f>INDEX('מלאי לפי חנות'!$F$5:$F$76,MATCH(SMALL('מלאי לפי חנות'!$N$5:$N$76,5),'מלאי לפי חנות'!$N$5:$N$76,0))</f>
        <v>19</v>
      </c>
      <c r="F29" s="17">
        <f>INDEX('מלאי לפי חנות'!$H$5:$H$76,MATCH(SMALL('מלאי לפי חנות'!$N$5:$N$76,5),'מלאי לפי חנות'!$N$5:$N$76,0))</f>
        <v>0.9</v>
      </c>
      <c r="G29" s="15" t="str">
        <f>INDEX('מלאי לפי חנות'!$I$5:$I$76,MATCH(SMALL('מלאי לפי חנות'!$N$5:$N$76,5),'מלאי לפי חנות'!$N$5:$N$76,0))</f>
        <v>אזל</v>
      </c>
    </row>
    <row r="30" spans="1:14" ht="20.100000000000001" customHeight="1" x14ac:dyDescent="0.2">
      <c r="A30" s="18" t="str">
        <f>INDEX('מלאי לפי חנות'!$E$5:$E$76,MATCH(SMALL('מלאי לפי חנות'!$N$5:$N$76,6),'מלאי לפי חנות'!$N$5:$N$76,0))</f>
        <v>חיפה — הדר</v>
      </c>
      <c r="B30" s="19" t="str">
        <f>INDEX('מלאי לפי חנות'!$A$5:$A$76,MATCH(SMALL('מלאי לפי חנות'!$N$5:$N$76,6),'מלאי לפי חנות'!$N$5:$N$76,0))</f>
        <v>JN-3305</v>
      </c>
      <c r="C30" s="18" t="str">
        <f>INDEX('מלאי לפי חנות'!$B$5:$B$76,MATCH(SMALL('מלאי לפי חנות'!$N$5:$N$76,6),'מלאי לפי חנות'!$N$5:$N$76,0))</f>
        <v>מכנסי ג׳ינס סלים</v>
      </c>
      <c r="D30" s="19" t="str">
        <f>INDEX('מלאי לפי חנות'!$C$5:$C$76,MATCH(SMALL('מלאי לפי חנות'!$N$5:$N$76,6),'מלאי לפי חנות'!$N$5:$N$76,0))</f>
        <v>32</v>
      </c>
      <c r="E30" s="20">
        <f>INDEX('מלאי לפי חנות'!$F$5:$F$76,MATCH(SMALL('מלאי לפי חנות'!$N$5:$N$76,6),'מלאי לפי חנות'!$N$5:$N$76,0))</f>
        <v>9</v>
      </c>
      <c r="F30" s="21">
        <f>INDEX('מלאי לפי חנות'!$H$5:$H$76,MATCH(SMALL('מלאי לפי חנות'!$N$5:$N$76,6),'מלאי לפי חנות'!$N$5:$N$76,0))</f>
        <v>1</v>
      </c>
      <c r="G30" s="19" t="str">
        <f>INDEX('מלאי לפי חנות'!$I$5:$I$76,MATCH(SMALL('מלאי לפי חנות'!$N$5:$N$76,6),'מלאי לפי חנות'!$N$5:$N$76,0))</f>
        <v>קריטי</v>
      </c>
    </row>
    <row r="31" spans="1:14" ht="20.100000000000001" customHeight="1" x14ac:dyDescent="0.2">
      <c r="A31" s="14" t="str">
        <f>INDEX('מלאי לפי חנות'!$E$5:$E$76,MATCH(SMALL('מלאי לפי חנות'!$N$5:$N$76,7),'מלאי לפי חנות'!$N$5:$N$76,0))</f>
        <v>חיפה — הדר</v>
      </c>
      <c r="B31" s="15" t="str">
        <f>INDEX('מלאי לפי חנות'!$A$5:$A$76,MATCH(SMALL('מלאי לפי חנות'!$N$5:$N$76,7),'מלאי לפי חנות'!$N$5:$N$76,0))</f>
        <v>TS-1042</v>
      </c>
      <c r="C31" s="14" t="str">
        <f>INDEX('מלאי לפי חנות'!$B$5:$B$76,MATCH(SMALL('מלאי לפי חנות'!$N$5:$N$76,7),'מלאי לפי חנות'!$N$5:$N$76,0))</f>
        <v>חולצת טי כותנה</v>
      </c>
      <c r="D31" s="15" t="str">
        <f>INDEX('מלאי לפי חנות'!$C$5:$C$76,MATCH(SMALL('מלאי לפי חנות'!$N$5:$N$76,7),'מלאי לפי חנות'!$N$5:$N$76,0))</f>
        <v>L</v>
      </c>
      <c r="E31" s="16">
        <f>INDEX('מלאי לפי חנות'!$F$5:$F$76,MATCH(SMALL('מלאי לפי חנות'!$N$5:$N$76,7),'מלאי לפי חנות'!$N$5:$N$76,0))</f>
        <v>18</v>
      </c>
      <c r="F31" s="17">
        <f>INDEX('מלאי לפי חנות'!$H$5:$H$76,MATCH(SMALL('מלאי לפי חנות'!$N$5:$N$76,7),'מלאי לפי חנות'!$N$5:$N$76,0))</f>
        <v>1.1000000000000001</v>
      </c>
      <c r="G31" s="15" t="str">
        <f>INDEX('מלאי לפי חנות'!$I$5:$I$76,MATCH(SMALL('מלאי לפי חנות'!$N$5:$N$76,7),'מלאי לפי חנות'!$N$5:$N$76,0))</f>
        <v>קריטי</v>
      </c>
    </row>
    <row r="32" spans="1:14" ht="20.100000000000001" customHeight="1" x14ac:dyDescent="0.2">
      <c r="A32" s="18" t="str">
        <f>INDEX('מלאי לפי חנות'!$E$5:$E$76,MATCH(SMALL('מלאי לפי חנות'!$N$5:$N$76,8),'מלאי לפי חנות'!$N$5:$N$76,0))</f>
        <v>קניון הקריון</v>
      </c>
      <c r="B32" s="19" t="str">
        <f>INDEX('מלאי לפי חנות'!$A$5:$A$76,MATCH(SMALL('מלאי לפי חנות'!$N$5:$N$76,8),'מלאי לפי חנות'!$N$5:$N$76,0))</f>
        <v>TS-1042</v>
      </c>
      <c r="C32" s="18" t="str">
        <f>INDEX('מלאי לפי חנות'!$B$5:$B$76,MATCH(SMALL('מלאי לפי חנות'!$N$5:$N$76,8),'מלאי לפי חנות'!$N$5:$N$76,0))</f>
        <v>חולצת טי כותנה</v>
      </c>
      <c r="D32" s="19" t="str">
        <f>INDEX('מלאי לפי חנות'!$C$5:$C$76,MATCH(SMALL('מלאי לפי חנות'!$N$5:$N$76,8),'מלאי לפי חנות'!$N$5:$N$76,0))</f>
        <v>L</v>
      </c>
      <c r="E32" s="20">
        <f>INDEX('מלאי לפי חנות'!$F$5:$F$76,MATCH(SMALL('מלאי לפי חנות'!$N$5:$N$76,8),'מלאי לפי חנות'!$N$5:$N$76,0))</f>
        <v>67</v>
      </c>
      <c r="F32" s="21">
        <f>INDEX('מלאי לפי חנות'!$H$5:$H$76,MATCH(SMALL('מלאי לפי חנות'!$N$5:$N$76,8),'מלאי לפי חנות'!$N$5:$N$76,0))</f>
        <v>1.3</v>
      </c>
      <c r="G32" s="19" t="str">
        <f>INDEX('מלאי לפי חנות'!$I$5:$I$76,MATCH(SMALL('מלאי לפי חנות'!$N$5:$N$76,8),'מלאי לפי חנות'!$N$5:$N$76,0))</f>
        <v>קריטי</v>
      </c>
    </row>
    <row r="33" spans="1:7" ht="20.100000000000001" customHeight="1" x14ac:dyDescent="0.2">
      <c r="A33" s="14" t="str">
        <f>INDEX('מלאי לפי חנות'!$E$5:$E$76,MATCH(SMALL('מלאי לפי חנות'!$N$5:$N$76,9),'מלאי לפי חנות'!$N$5:$N$76,0))</f>
        <v>גרנד קניון חיפה</v>
      </c>
      <c r="B33" s="15" t="str">
        <f>INDEX('מלאי לפי חנות'!$A$5:$A$76,MATCH(SMALL('מלאי לפי חנות'!$N$5:$N$76,9),'מלאי לפי חנות'!$N$5:$N$76,0))</f>
        <v>TS-1042</v>
      </c>
      <c r="C33" s="14" t="str">
        <f>INDEX('מלאי לפי חנות'!$B$5:$B$76,MATCH(SMALL('מלאי לפי חנות'!$N$5:$N$76,9),'מלאי לפי חנות'!$N$5:$N$76,0))</f>
        <v>חולצת טי כותנה</v>
      </c>
      <c r="D33" s="15" t="str">
        <f>INDEX('מלאי לפי חנות'!$C$5:$C$76,MATCH(SMALL('מלאי לפי חנות'!$N$5:$N$76,9),'מלאי לפי חנות'!$N$5:$N$76,0))</f>
        <v>L</v>
      </c>
      <c r="E33" s="16">
        <f>INDEX('מלאי לפי חנות'!$F$5:$F$76,MATCH(SMALL('מלאי לפי חנות'!$N$5:$N$76,9),'מלאי לפי חנות'!$N$5:$N$76,0))</f>
        <v>80</v>
      </c>
      <c r="F33" s="17">
        <f>INDEX('מלאי לפי חנות'!$H$5:$H$76,MATCH(SMALL('מלאי לפי חנות'!$N$5:$N$76,9),'מלאי לפי חנות'!$N$5:$N$76,0))</f>
        <v>1.4</v>
      </c>
      <c r="G33" s="15" t="str">
        <f>INDEX('מלאי לפי חנות'!$I$5:$I$76,MATCH(SMALL('מלאי לפי חנות'!$N$5:$N$76,9),'מלאי לפי חנות'!$N$5:$N$76,0))</f>
        <v>קריטי</v>
      </c>
    </row>
    <row r="34" spans="1:7" ht="20.100000000000001" customHeight="1" x14ac:dyDescent="0.2">
      <c r="A34" s="18" t="str">
        <f>INDEX('מלאי לפי חנות'!$E$5:$E$76,MATCH(SMALL('מלאי לפי חנות'!$N$5:$N$76,10),'מלאי לפי חנות'!$N$5:$N$76,0))</f>
        <v>קניון הקריון</v>
      </c>
      <c r="B34" s="19" t="str">
        <f>INDEX('מלאי לפי חנות'!$A$5:$A$76,MATCH(SMALL('מלאי לפי חנות'!$N$5:$N$76,10),'מלאי לפי חנות'!$N$5:$N$76,0))</f>
        <v>SK-7203</v>
      </c>
      <c r="C34" s="18" t="str">
        <f>INDEX('מלאי לפי חנות'!$B$5:$B$76,MATCH(SMALL('מלאי לפי חנות'!$N$5:$N$76,10),'מלאי לפי חנות'!$N$5:$N$76,0))</f>
        <v>חצאית מידי</v>
      </c>
      <c r="D34" s="19" t="str">
        <f>INDEX('מלאי לפי חנות'!$C$5:$C$76,MATCH(SMALL('מלאי לפי חנות'!$N$5:$N$76,10),'מלאי לפי חנות'!$N$5:$N$76,0))</f>
        <v>S</v>
      </c>
      <c r="E34" s="20">
        <f>INDEX('מלאי לפי חנות'!$F$5:$F$76,MATCH(SMALL('מלאי לפי חנות'!$N$5:$N$76,10),'מלאי לפי חנות'!$N$5:$N$76,0))</f>
        <v>9</v>
      </c>
      <c r="F34" s="21">
        <f>INDEX('מלאי לפי חנות'!$H$5:$H$76,MATCH(SMALL('מלאי לפי חנות'!$N$5:$N$76,10),'מלאי לפי חנות'!$N$5:$N$76,0))</f>
        <v>1.4</v>
      </c>
      <c r="G34" s="19" t="str">
        <f>INDEX('מלאי לפי חנות'!$I$5:$I$76,MATCH(SMALL('מלאי לפי חנות'!$N$5:$N$76,10),'מלאי לפי חנות'!$N$5:$N$76,0))</f>
        <v>קריטי</v>
      </c>
    </row>
  </sheetData>
  <conditionalFormatting sqref="G25:G34">
    <cfRule type="cellIs" dxfId="36" priority="1" operator="equal">
      <formula>"אזל"</formula>
    </cfRule>
    <cfRule type="cellIs" dxfId="35" priority="2" operator="equal">
      <formula>"קריטי"</formula>
    </cfRule>
    <cfRule type="cellIs" dxfId="34" priority="3" operator="equal">
      <formula>"נמוך"</formula>
    </cfRule>
    <cfRule type="cellIs" dxfId="33" priority="4" operator="equal">
      <formula>"תקין"</formula>
    </cfRule>
    <cfRule type="cellIs" dxfId="32" priority="5" operator="equal">
      <formula>"עודף"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7"/>
  <sheetViews>
    <sheetView showGridLines="0" rightToLeft="1" workbookViewId="0"/>
  </sheetViews>
  <sheetFormatPr defaultRowHeight="14.25" x14ac:dyDescent="0.2"/>
  <cols>
    <col min="1" max="1" width="26" customWidth="1"/>
    <col min="2" max="2" width="22" customWidth="1"/>
    <col min="3" max="3" width="4" customWidth="1"/>
    <col min="4" max="4" width="26" customWidth="1"/>
    <col min="5" max="5" width="22" customWidth="1"/>
    <col min="6" max="6" width="4" customWidth="1"/>
    <col min="7" max="7" width="24" customWidth="1"/>
    <col min="8" max="9" width="4" customWidth="1"/>
    <col min="10" max="10" width="12" hidden="1" customWidth="1"/>
    <col min="11" max="11" width="24" hidden="1" customWidth="1"/>
  </cols>
  <sheetData>
    <row r="1" spans="1:11" ht="30" customHeight="1" x14ac:dyDescent="0.2">
      <c r="A1" s="1" t="s">
        <v>24</v>
      </c>
      <c r="J1" s="12" t="s">
        <v>25</v>
      </c>
      <c r="K1" s="12" t="s">
        <v>26</v>
      </c>
    </row>
    <row r="2" spans="1:11" ht="15.95" customHeight="1" x14ac:dyDescent="0.2">
      <c r="A2" s="2" t="s">
        <v>27</v>
      </c>
      <c r="J2" s="12" t="s">
        <v>28</v>
      </c>
      <c r="K2" s="12" t="s">
        <v>29</v>
      </c>
    </row>
    <row r="3" spans="1:11" x14ac:dyDescent="0.2">
      <c r="J3" s="12" t="s">
        <v>30</v>
      </c>
      <c r="K3" s="12" t="s">
        <v>31</v>
      </c>
    </row>
    <row r="4" spans="1:11" ht="24" customHeight="1" x14ac:dyDescent="0.2">
      <c r="A4" s="3" t="s">
        <v>32</v>
      </c>
      <c r="B4" s="4"/>
      <c r="C4" s="4"/>
      <c r="D4" s="4"/>
      <c r="E4" s="4"/>
      <c r="J4" s="12" t="s">
        <v>33</v>
      </c>
      <c r="K4" s="12" t="s">
        <v>34</v>
      </c>
    </row>
    <row r="5" spans="1:11" x14ac:dyDescent="0.2">
      <c r="J5" s="12" t="s">
        <v>35</v>
      </c>
      <c r="K5" s="12" t="s">
        <v>36</v>
      </c>
    </row>
    <row r="6" spans="1:11" ht="24" customHeight="1" x14ac:dyDescent="0.2">
      <c r="A6" s="14" t="s">
        <v>37</v>
      </c>
      <c r="B6" s="22" t="s">
        <v>34</v>
      </c>
      <c r="J6" s="12" t="s">
        <v>38</v>
      </c>
      <c r="K6" s="12" t="s">
        <v>39</v>
      </c>
    </row>
    <row r="7" spans="1:11" x14ac:dyDescent="0.2">
      <c r="J7" s="12" t="s">
        <v>40</v>
      </c>
    </row>
    <row r="8" spans="1:11" ht="20.100000000000001" customHeight="1" x14ac:dyDescent="0.2">
      <c r="A8" s="14" t="s">
        <v>41</v>
      </c>
      <c r="B8" s="23" t="e">
        <f ca="1">_xludf.XLOOKUP($B$6,'סיכום חנויות'!$A$5:$A$10,'סיכום חנויות'!$B$5:$B$10,"בחרו חנות")</f>
        <v>#NAME?</v>
      </c>
      <c r="J8" s="12" t="s">
        <v>42</v>
      </c>
    </row>
    <row r="9" spans="1:11" ht="20.100000000000001" customHeight="1" x14ac:dyDescent="0.2">
      <c r="A9" s="18" t="s">
        <v>43</v>
      </c>
      <c r="B9" s="24" t="e">
        <f ca="1">_xludf.XLOOKUP($B$6,'סיכום חנויות'!$A$5:$A$10,'סיכום חנויות'!$C$5:$C$10,"בחרו חנות")</f>
        <v>#NAME?</v>
      </c>
      <c r="J9" s="12" t="s">
        <v>44</v>
      </c>
    </row>
    <row r="10" spans="1:11" ht="20.100000000000001" customHeight="1" x14ac:dyDescent="0.2">
      <c r="A10" s="14" t="s">
        <v>45</v>
      </c>
      <c r="B10" s="16" t="e">
        <f ca="1">_xludf.XLOOKUP($B$6,'סיכום חנויות'!$A$5:$A$10,'סיכום חנויות'!$D$5:$D$10,"בחרו חנות")</f>
        <v>#NAME?</v>
      </c>
      <c r="J10" s="12" t="s">
        <v>46</v>
      </c>
    </row>
    <row r="11" spans="1:11" ht="20.100000000000001" customHeight="1" x14ac:dyDescent="0.2">
      <c r="A11" s="18" t="s">
        <v>47</v>
      </c>
      <c r="B11" s="20" t="e">
        <f ca="1">_xludf.XLOOKUP($B$6,'סיכום חנויות'!$A$5:$A$10,'סיכום חנויות'!$E$5:$E$10,"בחרו חנות")</f>
        <v>#NAME?</v>
      </c>
      <c r="J11" s="12" t="s">
        <v>48</v>
      </c>
    </row>
    <row r="12" spans="1:11" ht="20.100000000000001" customHeight="1" x14ac:dyDescent="0.2">
      <c r="A12" s="14" t="s">
        <v>49</v>
      </c>
      <c r="B12" s="17" t="e">
        <f ca="1">_xludf.XLOOKUP($B$6,'סיכום חנויות'!$A$5:$A$10,'סיכום חנויות'!$F$5:$F$10,"בחרו חנות")</f>
        <v>#NAME?</v>
      </c>
      <c r="J12" s="12" t="s">
        <v>50</v>
      </c>
    </row>
    <row r="13" spans="1:11" ht="20.100000000000001" customHeight="1" x14ac:dyDescent="0.2">
      <c r="A13" s="18" t="s">
        <v>51</v>
      </c>
      <c r="B13" s="20" t="e">
        <f ca="1">_xludf.XLOOKUP($B$6,'סיכום חנויות'!$A$5:$A$10,'סיכום חנויות'!$H$5:$H$10,"בחרו חנות")</f>
        <v>#NAME?</v>
      </c>
    </row>
    <row r="15" spans="1:11" ht="24" customHeight="1" x14ac:dyDescent="0.2">
      <c r="A15" s="3" t="s">
        <v>52</v>
      </c>
      <c r="B15" s="4"/>
      <c r="C15" s="4"/>
      <c r="D15" s="4"/>
      <c r="E15" s="4"/>
    </row>
    <row r="17" spans="1:5" ht="24" customHeight="1" x14ac:dyDescent="0.2">
      <c r="A17" s="14" t="s">
        <v>53</v>
      </c>
      <c r="B17" s="22" t="s">
        <v>33</v>
      </c>
      <c r="C17" s="25"/>
      <c r="D17" s="14" t="s">
        <v>54</v>
      </c>
      <c r="E17" s="22" t="s">
        <v>29</v>
      </c>
    </row>
    <row r="19" spans="1:5" ht="20.100000000000001" customHeight="1" x14ac:dyDescent="0.2">
      <c r="A19" s="14" t="s">
        <v>19</v>
      </c>
      <c r="B19" s="15" t="e">
        <f ca="1">_xludf.XLOOKUP($B$17&amp;"|"&amp;$E$17,'מלאי לפי חנות'!$O$5:$O$76,'מלאי לפי חנות'!$B$5:$B$76,"לא נמצא")</f>
        <v>#NAME?</v>
      </c>
    </row>
    <row r="20" spans="1:5" ht="20.100000000000001" customHeight="1" x14ac:dyDescent="0.2">
      <c r="A20" s="18" t="s">
        <v>55</v>
      </c>
      <c r="B20" s="20" t="e">
        <f ca="1">_xludf.XLOOKUP($B$17&amp;"|"&amp;$E$17,'מלאי לפי חנות'!$O$5:$O$76,'מלאי לפי חנות'!$F$5:$F$76,"לא נמצא")</f>
        <v>#NAME?</v>
      </c>
    </row>
    <row r="21" spans="1:5" ht="20.100000000000001" customHeight="1" x14ac:dyDescent="0.2">
      <c r="A21" s="14" t="s">
        <v>56</v>
      </c>
      <c r="B21" s="16" t="e">
        <f ca="1">_xludf.XLOOKUP($B$17&amp;"|"&amp;$E$17,'מלאי לפי חנות'!$O$5:$O$76,'מלאי לפי חנות'!$G$5:$G$76,"לא נמצא")</f>
        <v>#NAME?</v>
      </c>
    </row>
    <row r="22" spans="1:5" ht="20.100000000000001" customHeight="1" x14ac:dyDescent="0.2">
      <c r="A22" s="18" t="s">
        <v>22</v>
      </c>
      <c r="B22" s="21" t="e">
        <f ca="1">_xludf.XLOOKUP($B$17&amp;"|"&amp;$E$17,'מלאי לפי חנות'!$O$5:$O$76,'מלאי לפי חנות'!$H$5:$H$76,"לא נמצא")</f>
        <v>#NAME?</v>
      </c>
    </row>
    <row r="23" spans="1:5" ht="20.100000000000001" customHeight="1" x14ac:dyDescent="0.2">
      <c r="A23" s="14" t="s">
        <v>23</v>
      </c>
      <c r="B23" s="15" t="e">
        <f ca="1">_xludf.XLOOKUP($B$17&amp;"|"&amp;$E$17,'מלאי לפי חנות'!$O$5:$O$76,'מלאי לפי חנות'!$I$5:$I$76,"לא נמצא")</f>
        <v>#NAME?</v>
      </c>
    </row>
    <row r="24" spans="1:5" ht="20.100000000000001" customHeight="1" x14ac:dyDescent="0.2">
      <c r="A24" s="18" t="s">
        <v>41</v>
      </c>
      <c r="B24" s="24" t="e">
        <f ca="1">_xludf.XLOOKUP($B$17&amp;"|"&amp;$E$17,'מלאי לפי חנות'!$O$5:$O$76,'מלאי לפי חנות'!$L$5:$L$76,"לא נמצא")</f>
        <v>#NAME?</v>
      </c>
    </row>
    <row r="25" spans="1:5" ht="20.100000000000001" customHeight="1" x14ac:dyDescent="0.2">
      <c r="A25" s="14" t="s">
        <v>43</v>
      </c>
      <c r="B25" s="23" t="e">
        <f ca="1">_xludf.XLOOKUP($B$17&amp;"|"&amp;$E$17,'מלאי לפי חנות'!$O$5:$O$76,'מלאי לפי חנות'!$M$5:$M$76,"לא נמצא")</f>
        <v>#NAME?</v>
      </c>
    </row>
    <row r="27" spans="1:5" x14ac:dyDescent="0.2">
      <c r="A27" s="26" t="s">
        <v>57</v>
      </c>
    </row>
  </sheetData>
  <conditionalFormatting sqref="B23">
    <cfRule type="cellIs" dxfId="31" priority="1" operator="equal">
      <formula>"אזל"</formula>
    </cfRule>
    <cfRule type="cellIs" dxfId="30" priority="2" operator="equal">
      <formula>"קריטי"</formula>
    </cfRule>
    <cfRule type="cellIs" dxfId="29" priority="3" operator="equal">
      <formula>"נמוך"</formula>
    </cfRule>
    <cfRule type="cellIs" dxfId="28" priority="4" operator="equal">
      <formula>"תקין"</formula>
    </cfRule>
    <cfRule type="cellIs" dxfId="27" priority="5" operator="equal">
      <formula>"עודף"</formula>
    </cfRule>
  </conditionalFormatting>
  <dataValidations count="3">
    <dataValidation type="list" errorTitle="ערך לא ברשימה" error="בחרו חנות מהרשימה הנפתחת" sqref="B6" xr:uid="{00000000-0002-0000-0100-000000000000}">
      <formula1>$K$1:$K$6</formula1>
    </dataValidation>
    <dataValidation type="list" sqref="B17" xr:uid="{00000000-0002-0000-0100-000001000000}">
      <formula1>$J$1:$J$12</formula1>
    </dataValidation>
    <dataValidation type="list" sqref="E17" xr:uid="{00000000-0002-0000-0100-000002000000}">
      <formula1>$K$1:$K$6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7"/>
  <sheetViews>
    <sheetView showGridLines="0" rightToLeft="1" workbookViewId="0">
      <pane ySplit="4" topLeftCell="A5" activePane="bottomLeft" state="frozen"/>
      <selection pane="bottomLeft"/>
    </sheetView>
  </sheetViews>
  <sheetFormatPr defaultRowHeight="14.25" x14ac:dyDescent="0.2"/>
  <cols>
    <col min="1" max="1" width="30" customWidth="1"/>
    <col min="2" max="2" width="14" customWidth="1"/>
    <col min="3" max="3" width="12" customWidth="1"/>
    <col min="4" max="4" width="52" customWidth="1"/>
    <col min="5" max="13" width="11" customWidth="1"/>
  </cols>
  <sheetData>
    <row r="1" spans="1:13" ht="30" customHeight="1" x14ac:dyDescent="0.2">
      <c r="A1" s="1" t="s">
        <v>58</v>
      </c>
    </row>
    <row r="2" spans="1:13" ht="15.95" customHeight="1" x14ac:dyDescent="0.2">
      <c r="A2" s="2" t="s">
        <v>59</v>
      </c>
    </row>
    <row r="4" spans="1:13" ht="33.950000000000003" customHeight="1" x14ac:dyDescent="0.2">
      <c r="A4" s="13" t="s">
        <v>60</v>
      </c>
      <c r="B4" s="13" t="s">
        <v>61</v>
      </c>
      <c r="C4" s="13" t="s">
        <v>62</v>
      </c>
      <c r="D4" s="13" t="s">
        <v>63</v>
      </c>
    </row>
    <row r="5" spans="1:13" ht="20.100000000000001" customHeight="1" x14ac:dyDescent="0.2">
      <c r="A5" s="14" t="s">
        <v>64</v>
      </c>
      <c r="B5" s="27">
        <v>0.18</v>
      </c>
      <c r="C5" s="15" t="s">
        <v>65</v>
      </c>
      <c r="D5" s="14" t="s">
        <v>66</v>
      </c>
    </row>
    <row r="6" spans="1:13" ht="20.100000000000001" customHeight="1" x14ac:dyDescent="0.2">
      <c r="A6" s="18" t="s">
        <v>67</v>
      </c>
      <c r="B6" s="28">
        <v>0.42</v>
      </c>
      <c r="C6" s="19" t="s">
        <v>65</v>
      </c>
      <c r="D6" s="18" t="s">
        <v>68</v>
      </c>
    </row>
    <row r="7" spans="1:13" ht="20.100000000000001" customHeight="1" x14ac:dyDescent="0.2">
      <c r="A7" s="14" t="s">
        <v>69</v>
      </c>
      <c r="B7" s="16">
        <v>45</v>
      </c>
      <c r="C7" s="15" t="s">
        <v>70</v>
      </c>
      <c r="D7" s="14" t="s">
        <v>71</v>
      </c>
    </row>
    <row r="8" spans="1:13" ht="20.100000000000001" customHeight="1" x14ac:dyDescent="0.2">
      <c r="A8" s="18" t="s">
        <v>72</v>
      </c>
      <c r="B8" s="20">
        <v>60</v>
      </c>
      <c r="C8" s="19" t="s">
        <v>70</v>
      </c>
      <c r="D8" s="18" t="s">
        <v>73</v>
      </c>
    </row>
    <row r="9" spans="1:13" ht="20.100000000000001" customHeight="1" x14ac:dyDescent="0.2">
      <c r="A9" s="14" t="s">
        <v>74</v>
      </c>
      <c r="B9" s="16">
        <v>21</v>
      </c>
      <c r="C9" s="15" t="s">
        <v>70</v>
      </c>
      <c r="D9" s="14" t="s">
        <v>75</v>
      </c>
    </row>
    <row r="10" spans="1:13" ht="20.100000000000001" customHeight="1" x14ac:dyDescent="0.2">
      <c r="A10" s="18" t="s">
        <v>76</v>
      </c>
      <c r="B10" s="20">
        <v>4</v>
      </c>
      <c r="C10" s="19" t="s">
        <v>77</v>
      </c>
      <c r="D10" s="18" t="s">
        <v>78</v>
      </c>
    </row>
    <row r="11" spans="1:13" ht="20.100000000000001" customHeight="1" x14ac:dyDescent="0.2">
      <c r="A11" s="14" t="s">
        <v>79</v>
      </c>
      <c r="B11" s="23">
        <v>285000</v>
      </c>
      <c r="C11" s="15" t="s">
        <v>80</v>
      </c>
      <c r="D11" s="14" t="s">
        <v>81</v>
      </c>
    </row>
    <row r="13" spans="1:13" ht="24" customHeight="1" x14ac:dyDescent="0.2">
      <c r="A13" s="3" t="s">
        <v>82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</row>
    <row r="14" spans="1:13" ht="33.950000000000003" customHeight="1" x14ac:dyDescent="0.2">
      <c r="A14" s="13" t="s">
        <v>83</v>
      </c>
      <c r="B14" s="13" t="s">
        <v>84</v>
      </c>
      <c r="C14" s="13" t="s">
        <v>85</v>
      </c>
      <c r="D14" s="13" t="s">
        <v>86</v>
      </c>
      <c r="E14" s="13" t="s">
        <v>87</v>
      </c>
      <c r="F14" s="13" t="s">
        <v>88</v>
      </c>
      <c r="G14" s="13" t="s">
        <v>89</v>
      </c>
      <c r="H14" s="13" t="s">
        <v>90</v>
      </c>
      <c r="I14" s="13" t="s">
        <v>91</v>
      </c>
      <c r="J14" s="13" t="s">
        <v>92</v>
      </c>
      <c r="K14" s="13" t="s">
        <v>93</v>
      </c>
      <c r="L14" s="13" t="s">
        <v>94</v>
      </c>
      <c r="M14" s="13" t="s">
        <v>95</v>
      </c>
    </row>
    <row r="15" spans="1:13" ht="20.100000000000001" customHeight="1" x14ac:dyDescent="0.2">
      <c r="A15" s="14" t="s">
        <v>96</v>
      </c>
      <c r="B15" s="29">
        <v>1</v>
      </c>
      <c r="C15" s="29">
        <v>0.88</v>
      </c>
      <c r="D15" s="29">
        <v>1.05</v>
      </c>
      <c r="E15" s="29">
        <v>0.97</v>
      </c>
      <c r="F15" s="29">
        <v>1.1200000000000001</v>
      </c>
      <c r="G15" s="29">
        <v>1.21</v>
      </c>
      <c r="H15" s="29">
        <v>1.18</v>
      </c>
      <c r="I15" s="29">
        <v>1.02</v>
      </c>
      <c r="J15" s="29">
        <v>1.0900000000000001</v>
      </c>
      <c r="K15" s="29">
        <v>1.1399999999999999</v>
      </c>
      <c r="L15" s="29">
        <v>1.25</v>
      </c>
      <c r="M15" s="29">
        <v>1.4</v>
      </c>
    </row>
    <row r="17" spans="1:1" x14ac:dyDescent="0.2">
      <c r="A17" s="26" t="s">
        <v>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76"/>
  <sheetViews>
    <sheetView showGridLines="0" rightToLeft="1" workbookViewId="0">
      <pane ySplit="4" topLeftCell="A5" activePane="bottomLeft" state="frozen"/>
      <selection pane="bottomLeft"/>
    </sheetView>
  </sheetViews>
  <sheetFormatPr defaultRowHeight="14.25" x14ac:dyDescent="0.2"/>
  <cols>
    <col min="1" max="1" width="11" customWidth="1"/>
    <col min="2" max="2" width="24" customWidth="1"/>
    <col min="3" max="3" width="8" customWidth="1"/>
    <col min="4" max="4" width="12" customWidth="1"/>
    <col min="5" max="5" width="22" customWidth="1"/>
    <col min="6" max="6" width="12" customWidth="1"/>
    <col min="7" max="7" width="15" customWidth="1"/>
    <col min="8" max="11" width="13" customWidth="1"/>
    <col min="12" max="12" width="17" customWidth="1"/>
    <col min="13" max="13" width="15" customWidth="1"/>
    <col min="14" max="15" width="12" hidden="1" customWidth="1"/>
  </cols>
  <sheetData>
    <row r="1" spans="1:15" ht="30" customHeight="1" x14ac:dyDescent="0.2">
      <c r="A1" s="1" t="s">
        <v>98</v>
      </c>
    </row>
    <row r="2" spans="1:15" ht="15.95" customHeight="1" x14ac:dyDescent="0.2">
      <c r="A2" s="2" t="s">
        <v>99</v>
      </c>
    </row>
    <row r="4" spans="1:15" ht="48" customHeight="1" x14ac:dyDescent="0.2">
      <c r="A4" s="13" t="s">
        <v>18</v>
      </c>
      <c r="B4" s="13" t="s">
        <v>19</v>
      </c>
      <c r="C4" s="13" t="s">
        <v>20</v>
      </c>
      <c r="D4" s="13" t="s">
        <v>100</v>
      </c>
      <c r="E4" s="13" t="s">
        <v>17</v>
      </c>
      <c r="F4" s="13" t="s">
        <v>21</v>
      </c>
      <c r="G4" s="13" t="s">
        <v>56</v>
      </c>
      <c r="H4" s="13" t="s">
        <v>22</v>
      </c>
      <c r="I4" s="13" t="s">
        <v>23</v>
      </c>
      <c r="J4" s="13" t="s">
        <v>101</v>
      </c>
      <c r="K4" s="13" t="s">
        <v>102</v>
      </c>
      <c r="L4" s="13" t="s">
        <v>41</v>
      </c>
      <c r="M4" s="13" t="s">
        <v>43</v>
      </c>
      <c r="N4" s="13" t="s">
        <v>103</v>
      </c>
      <c r="O4" s="13" t="s">
        <v>104</v>
      </c>
    </row>
    <row r="5" spans="1:15" ht="20.100000000000001" customHeight="1" x14ac:dyDescent="0.2">
      <c r="A5" s="15" t="s">
        <v>25</v>
      </c>
      <c r="B5" s="14" t="s">
        <v>105</v>
      </c>
      <c r="C5" s="15" t="s">
        <v>106</v>
      </c>
      <c r="D5" s="14" t="s">
        <v>107</v>
      </c>
      <c r="E5" s="14" t="s">
        <v>26</v>
      </c>
      <c r="F5" s="16">
        <v>113</v>
      </c>
      <c r="G5" s="16">
        <v>116</v>
      </c>
      <c r="H5" s="17">
        <f t="shared" ref="H5:H36" si="0">ROUND(F5/(G5/4.33),1)</f>
        <v>4.2</v>
      </c>
      <c r="I5" s="15" t="str">
        <f>IF(H5&lt;1,"אזל",IF(H5&lt;2,"קריטי",IF(H5&lt;'הנחות ופרמטרים'!$B$10,"נמוך",IF(H5&lt;=12,"תקין","עודף"))))</f>
        <v>תקין</v>
      </c>
      <c r="J5" s="30">
        <v>79.900000000000006</v>
      </c>
      <c r="K5" s="30">
        <v>24.9</v>
      </c>
      <c r="L5" s="31">
        <f t="shared" ref="L5:L36" si="1">G5*J5</f>
        <v>9268.4000000000015</v>
      </c>
      <c r="M5" s="31">
        <f t="shared" ref="M5:M36" si="2">F5*K5</f>
        <v>2813.7</v>
      </c>
      <c r="N5" s="32">
        <f t="shared" ref="N5:N36" si="3">H5+ROW()/1000000</f>
        <v>4.200005</v>
      </c>
      <c r="O5" s="15" t="str">
        <f t="shared" ref="O5:O36" si="4">A5&amp;"|"&amp;E5</f>
        <v>TS-1041|גרנד קניון חיפה</v>
      </c>
    </row>
    <row r="6" spans="1:15" ht="20.100000000000001" customHeight="1" x14ac:dyDescent="0.2">
      <c r="A6" s="19" t="s">
        <v>28</v>
      </c>
      <c r="B6" s="18" t="s">
        <v>105</v>
      </c>
      <c r="C6" s="19" t="s">
        <v>108</v>
      </c>
      <c r="D6" s="18" t="s">
        <v>107</v>
      </c>
      <c r="E6" s="18" t="s">
        <v>26</v>
      </c>
      <c r="F6" s="20">
        <v>80</v>
      </c>
      <c r="G6" s="20">
        <v>240</v>
      </c>
      <c r="H6" s="21">
        <f t="shared" si="0"/>
        <v>1.4</v>
      </c>
      <c r="I6" s="19" t="str">
        <f>IF(H6&lt;1,"אזל",IF(H6&lt;2,"קריטי",IF(H6&lt;'הנחות ופרמטרים'!$B$10,"נמוך",IF(H6&lt;=12,"תקין","עודף"))))</f>
        <v>קריטי</v>
      </c>
      <c r="J6" s="33">
        <v>79.900000000000006</v>
      </c>
      <c r="K6" s="33">
        <v>24.9</v>
      </c>
      <c r="L6" s="34">
        <f t="shared" si="1"/>
        <v>19176</v>
      </c>
      <c r="M6" s="34">
        <f t="shared" si="2"/>
        <v>1992</v>
      </c>
      <c r="N6" s="32">
        <f t="shared" si="3"/>
        <v>1.4000059999999999</v>
      </c>
      <c r="O6" s="15" t="str">
        <f t="shared" si="4"/>
        <v>TS-1042|גרנד קניון חיפה</v>
      </c>
    </row>
    <row r="7" spans="1:15" ht="20.100000000000001" customHeight="1" x14ac:dyDescent="0.2">
      <c r="A7" s="15" t="s">
        <v>30</v>
      </c>
      <c r="B7" s="14" t="s">
        <v>109</v>
      </c>
      <c r="C7" s="15" t="s">
        <v>108</v>
      </c>
      <c r="D7" s="14" t="s">
        <v>107</v>
      </c>
      <c r="E7" s="14" t="s">
        <v>26</v>
      </c>
      <c r="F7" s="16">
        <v>176</v>
      </c>
      <c r="G7" s="16">
        <v>62</v>
      </c>
      <c r="H7" s="17">
        <f t="shared" si="0"/>
        <v>12.3</v>
      </c>
      <c r="I7" s="15" t="str">
        <f>IF(H7&lt;1,"אזל",IF(H7&lt;2,"קריטי",IF(H7&lt;'הנחות ופרמטרים'!$B$10,"נמוך",IF(H7&lt;=12,"תקין","עודף"))))</f>
        <v>עודף</v>
      </c>
      <c r="J7" s="30">
        <v>189</v>
      </c>
      <c r="K7" s="30">
        <v>68</v>
      </c>
      <c r="L7" s="31">
        <f t="shared" si="1"/>
        <v>11718</v>
      </c>
      <c r="M7" s="31">
        <f t="shared" si="2"/>
        <v>11968</v>
      </c>
      <c r="N7" s="32">
        <f t="shared" si="3"/>
        <v>12.300007000000001</v>
      </c>
      <c r="O7" s="15" t="str">
        <f t="shared" si="4"/>
        <v>SH-2210|גרנד קניון חיפה</v>
      </c>
    </row>
    <row r="8" spans="1:15" ht="20.100000000000001" customHeight="1" x14ac:dyDescent="0.2">
      <c r="A8" s="19" t="s">
        <v>33</v>
      </c>
      <c r="B8" s="18" t="s">
        <v>110</v>
      </c>
      <c r="C8" s="19" t="s">
        <v>111</v>
      </c>
      <c r="D8" s="18" t="s">
        <v>112</v>
      </c>
      <c r="E8" s="18" t="s">
        <v>26</v>
      </c>
      <c r="F8" s="20">
        <v>15</v>
      </c>
      <c r="G8" s="20">
        <v>114</v>
      </c>
      <c r="H8" s="21">
        <f t="shared" si="0"/>
        <v>0.6</v>
      </c>
      <c r="I8" s="19" t="str">
        <f>IF(H8&lt;1,"אזל",IF(H8&lt;2,"קריטי",IF(H8&lt;'הנחות ופרמטרים'!$B$10,"נמוך",IF(H8&lt;=12,"תקין","עודף"))))</f>
        <v>אזל</v>
      </c>
      <c r="J8" s="33">
        <v>249</v>
      </c>
      <c r="K8" s="33">
        <v>96.5</v>
      </c>
      <c r="L8" s="34">
        <f t="shared" si="1"/>
        <v>28386</v>
      </c>
      <c r="M8" s="34">
        <f t="shared" si="2"/>
        <v>1447.5</v>
      </c>
      <c r="N8" s="32">
        <f t="shared" si="3"/>
        <v>0.60000799999999999</v>
      </c>
      <c r="O8" s="15" t="str">
        <f t="shared" si="4"/>
        <v>JN-3305|גרנד קניון חיפה</v>
      </c>
    </row>
    <row r="9" spans="1:15" ht="20.100000000000001" customHeight="1" x14ac:dyDescent="0.2">
      <c r="A9" s="15" t="s">
        <v>35</v>
      </c>
      <c r="B9" s="14" t="s">
        <v>113</v>
      </c>
      <c r="C9" s="15" t="s">
        <v>114</v>
      </c>
      <c r="D9" s="14" t="s">
        <v>112</v>
      </c>
      <c r="E9" s="14" t="s">
        <v>26</v>
      </c>
      <c r="F9" s="16">
        <v>317</v>
      </c>
      <c r="G9" s="16">
        <v>84</v>
      </c>
      <c r="H9" s="17">
        <f t="shared" si="0"/>
        <v>16.3</v>
      </c>
      <c r="I9" s="15" t="str">
        <f>IF(H9&lt;1,"אזל",IF(H9&lt;2,"קריטי",IF(H9&lt;'הנחות ופרמטרים'!$B$10,"נמוך",IF(H9&lt;=12,"תקין","עודף"))))</f>
        <v>עודף</v>
      </c>
      <c r="J9" s="30">
        <v>249</v>
      </c>
      <c r="K9" s="30">
        <v>96.5</v>
      </c>
      <c r="L9" s="31">
        <f t="shared" si="1"/>
        <v>20916</v>
      </c>
      <c r="M9" s="31">
        <f t="shared" si="2"/>
        <v>30590.5</v>
      </c>
      <c r="N9" s="32">
        <f t="shared" si="3"/>
        <v>16.300008999999999</v>
      </c>
      <c r="O9" s="15" t="str">
        <f t="shared" si="4"/>
        <v>JN-3307|גרנד קניון חיפה</v>
      </c>
    </row>
    <row r="10" spans="1:15" ht="20.100000000000001" customHeight="1" x14ac:dyDescent="0.2">
      <c r="A10" s="19" t="s">
        <v>38</v>
      </c>
      <c r="B10" s="18" t="s">
        <v>115</v>
      </c>
      <c r="C10" s="19" t="s">
        <v>116</v>
      </c>
      <c r="D10" s="18" t="s">
        <v>117</v>
      </c>
      <c r="E10" s="18" t="s">
        <v>26</v>
      </c>
      <c r="F10" s="20">
        <v>46</v>
      </c>
      <c r="G10" s="20">
        <v>44</v>
      </c>
      <c r="H10" s="21">
        <f t="shared" si="0"/>
        <v>4.5</v>
      </c>
      <c r="I10" s="19" t="str">
        <f>IF(H10&lt;1,"אזל",IF(H10&lt;2,"קריטי",IF(H10&lt;'הנחות ופרמטרים'!$B$10,"נמוך",IF(H10&lt;=12,"תקין","עודף"))))</f>
        <v>תקין</v>
      </c>
      <c r="J10" s="33">
        <v>279</v>
      </c>
      <c r="K10" s="33">
        <v>112</v>
      </c>
      <c r="L10" s="34">
        <f t="shared" si="1"/>
        <v>12276</v>
      </c>
      <c r="M10" s="34">
        <f t="shared" si="2"/>
        <v>5152</v>
      </c>
      <c r="N10" s="32">
        <f t="shared" si="3"/>
        <v>4.5000099999999996</v>
      </c>
      <c r="O10" s="15" t="str">
        <f t="shared" si="4"/>
        <v>DR-4102|גרנד קניון חיפה</v>
      </c>
    </row>
    <row r="11" spans="1:15" ht="20.100000000000001" customHeight="1" x14ac:dyDescent="0.2">
      <c r="A11" s="15" t="s">
        <v>40</v>
      </c>
      <c r="B11" s="14" t="s">
        <v>118</v>
      </c>
      <c r="C11" s="15" t="s">
        <v>106</v>
      </c>
      <c r="D11" s="14" t="s">
        <v>117</v>
      </c>
      <c r="E11" s="14" t="s">
        <v>26</v>
      </c>
      <c r="F11" s="16">
        <v>104</v>
      </c>
      <c r="G11" s="16">
        <v>29</v>
      </c>
      <c r="H11" s="17">
        <f t="shared" si="0"/>
        <v>15.5</v>
      </c>
      <c r="I11" s="15" t="str">
        <f>IF(H11&lt;1,"אזל",IF(H11&lt;2,"קריטי",IF(H11&lt;'הנחות ופרמטרים'!$B$10,"נמוך",IF(H11&lt;=12,"תקין","עודף"))))</f>
        <v>עודף</v>
      </c>
      <c r="J11" s="30">
        <v>590</v>
      </c>
      <c r="K11" s="30">
        <v>245</v>
      </c>
      <c r="L11" s="31">
        <f t="shared" si="1"/>
        <v>17110</v>
      </c>
      <c r="M11" s="31">
        <f t="shared" si="2"/>
        <v>25480</v>
      </c>
      <c r="N11" s="32">
        <f t="shared" si="3"/>
        <v>15.500011000000001</v>
      </c>
      <c r="O11" s="15" t="str">
        <f t="shared" si="4"/>
        <v>DR-4108|גרנד קניון חיפה</v>
      </c>
    </row>
    <row r="12" spans="1:15" ht="20.100000000000001" customHeight="1" x14ac:dyDescent="0.2">
      <c r="A12" s="19" t="s">
        <v>42</v>
      </c>
      <c r="B12" s="18" t="s">
        <v>119</v>
      </c>
      <c r="C12" s="19" t="s">
        <v>120</v>
      </c>
      <c r="D12" s="18" t="s">
        <v>121</v>
      </c>
      <c r="E12" s="18" t="s">
        <v>26</v>
      </c>
      <c r="F12" s="20">
        <v>48</v>
      </c>
      <c r="G12" s="20">
        <v>32</v>
      </c>
      <c r="H12" s="21">
        <f t="shared" si="0"/>
        <v>6.5</v>
      </c>
      <c r="I12" s="19" t="str">
        <f>IF(H12&lt;1,"אזל",IF(H12&lt;2,"קריטי",IF(H12&lt;'הנחות ופרמטרים'!$B$10,"נמוך",IF(H12&lt;=12,"תקין","עודף"))))</f>
        <v>תקין</v>
      </c>
      <c r="J12" s="33">
        <v>449</v>
      </c>
      <c r="K12" s="33">
        <v>189</v>
      </c>
      <c r="L12" s="34">
        <f t="shared" si="1"/>
        <v>14368</v>
      </c>
      <c r="M12" s="34">
        <f t="shared" si="2"/>
        <v>9072</v>
      </c>
      <c r="N12" s="32">
        <f t="shared" si="3"/>
        <v>6.5000119999999999</v>
      </c>
      <c r="O12" s="15" t="str">
        <f t="shared" si="4"/>
        <v>JK-5501|גרנד קניון חיפה</v>
      </c>
    </row>
    <row r="13" spans="1:15" ht="20.100000000000001" customHeight="1" x14ac:dyDescent="0.2">
      <c r="A13" s="15" t="s">
        <v>44</v>
      </c>
      <c r="B13" s="14" t="s">
        <v>122</v>
      </c>
      <c r="C13" s="15" t="s">
        <v>106</v>
      </c>
      <c r="D13" s="14" t="s">
        <v>121</v>
      </c>
      <c r="E13" s="14" t="s">
        <v>26</v>
      </c>
      <c r="F13" s="16">
        <v>15</v>
      </c>
      <c r="G13" s="16">
        <v>34</v>
      </c>
      <c r="H13" s="17">
        <f t="shared" si="0"/>
        <v>1.9</v>
      </c>
      <c r="I13" s="15" t="str">
        <f>IF(H13&lt;1,"אזל",IF(H13&lt;2,"קריטי",IF(H13&lt;'הנחות ופרמטרים'!$B$10,"נמוך",IF(H13&lt;=12,"תקין","עודף"))))</f>
        <v>קריטי</v>
      </c>
      <c r="J13" s="30">
        <v>379</v>
      </c>
      <c r="K13" s="30">
        <v>154</v>
      </c>
      <c r="L13" s="31">
        <f t="shared" si="1"/>
        <v>12886</v>
      </c>
      <c r="M13" s="31">
        <f t="shared" si="2"/>
        <v>2310</v>
      </c>
      <c r="N13" s="32">
        <f t="shared" si="3"/>
        <v>1.900013</v>
      </c>
      <c r="O13" s="15" t="str">
        <f t="shared" si="4"/>
        <v>JK-5504|גרנד קניון חיפה</v>
      </c>
    </row>
    <row r="14" spans="1:15" ht="20.100000000000001" customHeight="1" x14ac:dyDescent="0.2">
      <c r="A14" s="19" t="s">
        <v>46</v>
      </c>
      <c r="B14" s="18" t="s">
        <v>123</v>
      </c>
      <c r="C14" s="19" t="s">
        <v>124</v>
      </c>
      <c r="D14" s="18" t="s">
        <v>125</v>
      </c>
      <c r="E14" s="18" t="s">
        <v>26</v>
      </c>
      <c r="F14" s="20">
        <v>134</v>
      </c>
      <c r="G14" s="20">
        <v>66</v>
      </c>
      <c r="H14" s="21">
        <f t="shared" si="0"/>
        <v>8.8000000000000007</v>
      </c>
      <c r="I14" s="19" t="str">
        <f>IF(H14&lt;1,"אזל",IF(H14&lt;2,"קריטי",IF(H14&lt;'הנחות ופרמטרים'!$B$10,"נמוך",IF(H14&lt;=12,"תקין","עודף"))))</f>
        <v>תקין</v>
      </c>
      <c r="J14" s="33">
        <v>119</v>
      </c>
      <c r="K14" s="33">
        <v>42</v>
      </c>
      <c r="L14" s="34">
        <f t="shared" si="1"/>
        <v>7854</v>
      </c>
      <c r="M14" s="34">
        <f t="shared" si="2"/>
        <v>5628</v>
      </c>
      <c r="N14" s="32">
        <f t="shared" si="3"/>
        <v>8.8000140000000009</v>
      </c>
      <c r="O14" s="15" t="str">
        <f t="shared" si="4"/>
        <v>AC-6001|גרנד קניון חיפה</v>
      </c>
    </row>
    <row r="15" spans="1:15" ht="20.100000000000001" customHeight="1" x14ac:dyDescent="0.2">
      <c r="A15" s="15" t="s">
        <v>48</v>
      </c>
      <c r="B15" s="14" t="s">
        <v>126</v>
      </c>
      <c r="C15" s="15" t="s">
        <v>124</v>
      </c>
      <c r="D15" s="14" t="s">
        <v>125</v>
      </c>
      <c r="E15" s="14" t="s">
        <v>26</v>
      </c>
      <c r="F15" s="16">
        <v>131</v>
      </c>
      <c r="G15" s="16">
        <v>22</v>
      </c>
      <c r="H15" s="17">
        <f t="shared" si="0"/>
        <v>25.8</v>
      </c>
      <c r="I15" s="15" t="str">
        <f>IF(H15&lt;1,"אזל",IF(H15&lt;2,"קריטי",IF(H15&lt;'הנחות ופרמטרים'!$B$10,"נמוך",IF(H15&lt;=12,"תקין","עודף"))))</f>
        <v>עודף</v>
      </c>
      <c r="J15" s="30">
        <v>99</v>
      </c>
      <c r="K15" s="30">
        <v>38.5</v>
      </c>
      <c r="L15" s="31">
        <f t="shared" si="1"/>
        <v>2178</v>
      </c>
      <c r="M15" s="31">
        <f t="shared" si="2"/>
        <v>5043.5</v>
      </c>
      <c r="N15" s="32">
        <f t="shared" si="3"/>
        <v>25.800015000000002</v>
      </c>
      <c r="O15" s="15" t="str">
        <f t="shared" si="4"/>
        <v>AC-6014|גרנד קניון חיפה</v>
      </c>
    </row>
    <row r="16" spans="1:15" ht="20.100000000000001" customHeight="1" x14ac:dyDescent="0.2">
      <c r="A16" s="19" t="s">
        <v>50</v>
      </c>
      <c r="B16" s="18" t="s">
        <v>127</v>
      </c>
      <c r="C16" s="19" t="s">
        <v>116</v>
      </c>
      <c r="D16" s="18" t="s">
        <v>128</v>
      </c>
      <c r="E16" s="18" t="s">
        <v>26</v>
      </c>
      <c r="F16" s="20">
        <v>10</v>
      </c>
      <c r="G16" s="20">
        <v>26</v>
      </c>
      <c r="H16" s="21">
        <f t="shared" si="0"/>
        <v>1.7</v>
      </c>
      <c r="I16" s="19" t="str">
        <f>IF(H16&lt;1,"אזל",IF(H16&lt;2,"קריטי",IF(H16&lt;'הנחות ופרמטרים'!$B$10,"נמוך",IF(H16&lt;=12,"תקין","עודף"))))</f>
        <v>קריטי</v>
      </c>
      <c r="J16" s="33">
        <v>199</v>
      </c>
      <c r="K16" s="33">
        <v>78</v>
      </c>
      <c r="L16" s="34">
        <f t="shared" si="1"/>
        <v>5174</v>
      </c>
      <c r="M16" s="34">
        <f t="shared" si="2"/>
        <v>780</v>
      </c>
      <c r="N16" s="32">
        <f t="shared" si="3"/>
        <v>1.700016</v>
      </c>
      <c r="O16" s="15" t="str">
        <f t="shared" si="4"/>
        <v>SK-7203|גרנד קניון חיפה</v>
      </c>
    </row>
    <row r="17" spans="1:15" ht="20.100000000000001" customHeight="1" x14ac:dyDescent="0.2">
      <c r="A17" s="15" t="s">
        <v>25</v>
      </c>
      <c r="B17" s="14" t="s">
        <v>105</v>
      </c>
      <c r="C17" s="15" t="s">
        <v>106</v>
      </c>
      <c r="D17" s="14" t="s">
        <v>107</v>
      </c>
      <c r="E17" s="14" t="s">
        <v>29</v>
      </c>
      <c r="F17" s="16">
        <v>234</v>
      </c>
      <c r="G17" s="16">
        <v>118</v>
      </c>
      <c r="H17" s="17">
        <f t="shared" si="0"/>
        <v>8.6</v>
      </c>
      <c r="I17" s="15" t="str">
        <f>IF(H17&lt;1,"אזל",IF(H17&lt;2,"קריטי",IF(H17&lt;'הנחות ופרמטרים'!$B$10,"נמוך",IF(H17&lt;=12,"תקין","עודף"))))</f>
        <v>תקין</v>
      </c>
      <c r="J17" s="30">
        <v>79.900000000000006</v>
      </c>
      <c r="K17" s="30">
        <v>24.9</v>
      </c>
      <c r="L17" s="31">
        <f t="shared" si="1"/>
        <v>9428.2000000000007</v>
      </c>
      <c r="M17" s="31">
        <f t="shared" si="2"/>
        <v>5826.5999999999995</v>
      </c>
      <c r="N17" s="32">
        <f t="shared" si="3"/>
        <v>8.6000169999999994</v>
      </c>
      <c r="O17" s="15" t="str">
        <f t="shared" si="4"/>
        <v>TS-1041|קניון הקריון</v>
      </c>
    </row>
    <row r="18" spans="1:15" ht="20.100000000000001" customHeight="1" x14ac:dyDescent="0.2">
      <c r="A18" s="19" t="s">
        <v>28</v>
      </c>
      <c r="B18" s="18" t="s">
        <v>105</v>
      </c>
      <c r="C18" s="19" t="s">
        <v>108</v>
      </c>
      <c r="D18" s="18" t="s">
        <v>107</v>
      </c>
      <c r="E18" s="18" t="s">
        <v>29</v>
      </c>
      <c r="F18" s="20">
        <v>67</v>
      </c>
      <c r="G18" s="20">
        <v>229</v>
      </c>
      <c r="H18" s="21">
        <f t="shared" si="0"/>
        <v>1.3</v>
      </c>
      <c r="I18" s="19" t="str">
        <f>IF(H18&lt;1,"אזל",IF(H18&lt;2,"קריטי",IF(H18&lt;'הנחות ופרמטרים'!$B$10,"נמוך",IF(H18&lt;=12,"תקין","עודף"))))</f>
        <v>קריטי</v>
      </c>
      <c r="J18" s="33">
        <v>79.900000000000006</v>
      </c>
      <c r="K18" s="33">
        <v>24.9</v>
      </c>
      <c r="L18" s="34">
        <f t="shared" si="1"/>
        <v>18297.100000000002</v>
      </c>
      <c r="M18" s="34">
        <f t="shared" si="2"/>
        <v>1668.3</v>
      </c>
      <c r="N18" s="32">
        <f t="shared" si="3"/>
        <v>1.3000180000000001</v>
      </c>
      <c r="O18" s="15" t="str">
        <f t="shared" si="4"/>
        <v>TS-1042|קניון הקריון</v>
      </c>
    </row>
    <row r="19" spans="1:15" ht="20.100000000000001" customHeight="1" x14ac:dyDescent="0.2">
      <c r="A19" s="15" t="s">
        <v>30</v>
      </c>
      <c r="B19" s="14" t="s">
        <v>109</v>
      </c>
      <c r="C19" s="15" t="s">
        <v>108</v>
      </c>
      <c r="D19" s="14" t="s">
        <v>107</v>
      </c>
      <c r="E19" s="14" t="s">
        <v>29</v>
      </c>
      <c r="F19" s="16">
        <v>156</v>
      </c>
      <c r="G19" s="16">
        <v>61</v>
      </c>
      <c r="H19" s="17">
        <f t="shared" si="0"/>
        <v>11.1</v>
      </c>
      <c r="I19" s="15" t="str">
        <f>IF(H19&lt;1,"אזל",IF(H19&lt;2,"קריטי",IF(H19&lt;'הנחות ופרמטרים'!$B$10,"נמוך",IF(H19&lt;=12,"תקין","עודף"))))</f>
        <v>תקין</v>
      </c>
      <c r="J19" s="30">
        <v>189</v>
      </c>
      <c r="K19" s="30">
        <v>68</v>
      </c>
      <c r="L19" s="31">
        <f t="shared" si="1"/>
        <v>11529</v>
      </c>
      <c r="M19" s="31">
        <f t="shared" si="2"/>
        <v>10608</v>
      </c>
      <c r="N19" s="32">
        <f t="shared" si="3"/>
        <v>11.100019</v>
      </c>
      <c r="O19" s="15" t="str">
        <f t="shared" si="4"/>
        <v>SH-2210|קניון הקריון</v>
      </c>
    </row>
    <row r="20" spans="1:15" ht="20.100000000000001" customHeight="1" x14ac:dyDescent="0.2">
      <c r="A20" s="19" t="s">
        <v>33</v>
      </c>
      <c r="B20" s="18" t="s">
        <v>110</v>
      </c>
      <c r="C20" s="19" t="s">
        <v>111</v>
      </c>
      <c r="D20" s="18" t="s">
        <v>112</v>
      </c>
      <c r="E20" s="18" t="s">
        <v>29</v>
      </c>
      <c r="F20" s="20">
        <v>6</v>
      </c>
      <c r="G20" s="20">
        <v>54</v>
      </c>
      <c r="H20" s="21">
        <f t="shared" si="0"/>
        <v>0.5</v>
      </c>
      <c r="I20" s="19" t="str">
        <f>IF(H20&lt;1,"אזל",IF(H20&lt;2,"קריטי",IF(H20&lt;'הנחות ופרמטרים'!$B$10,"נמוך",IF(H20&lt;=12,"תקין","עודף"))))</f>
        <v>אזל</v>
      </c>
      <c r="J20" s="33">
        <v>249</v>
      </c>
      <c r="K20" s="33">
        <v>96.5</v>
      </c>
      <c r="L20" s="34">
        <f t="shared" si="1"/>
        <v>13446</v>
      </c>
      <c r="M20" s="34">
        <f t="shared" si="2"/>
        <v>579</v>
      </c>
      <c r="N20" s="32">
        <f t="shared" si="3"/>
        <v>0.50002000000000002</v>
      </c>
      <c r="O20" s="15" t="str">
        <f t="shared" si="4"/>
        <v>JN-3305|קניון הקריון</v>
      </c>
    </row>
    <row r="21" spans="1:15" ht="20.100000000000001" customHeight="1" x14ac:dyDescent="0.2">
      <c r="A21" s="15" t="s">
        <v>35</v>
      </c>
      <c r="B21" s="14" t="s">
        <v>113</v>
      </c>
      <c r="C21" s="15" t="s">
        <v>114</v>
      </c>
      <c r="D21" s="14" t="s">
        <v>112</v>
      </c>
      <c r="E21" s="14" t="s">
        <v>29</v>
      </c>
      <c r="F21" s="16">
        <v>267</v>
      </c>
      <c r="G21" s="16">
        <v>80</v>
      </c>
      <c r="H21" s="17">
        <f t="shared" si="0"/>
        <v>14.5</v>
      </c>
      <c r="I21" s="15" t="str">
        <f>IF(H21&lt;1,"אזל",IF(H21&lt;2,"קריטי",IF(H21&lt;'הנחות ופרמטרים'!$B$10,"נמוך",IF(H21&lt;=12,"תקין","עודף"))))</f>
        <v>עודף</v>
      </c>
      <c r="J21" s="30">
        <v>249</v>
      </c>
      <c r="K21" s="30">
        <v>96.5</v>
      </c>
      <c r="L21" s="31">
        <f t="shared" si="1"/>
        <v>19920</v>
      </c>
      <c r="M21" s="31">
        <f t="shared" si="2"/>
        <v>25765.5</v>
      </c>
      <c r="N21" s="32">
        <f t="shared" si="3"/>
        <v>14.500021</v>
      </c>
      <c r="O21" s="15" t="str">
        <f t="shared" si="4"/>
        <v>JN-3307|קניון הקריון</v>
      </c>
    </row>
    <row r="22" spans="1:15" ht="20.100000000000001" customHeight="1" x14ac:dyDescent="0.2">
      <c r="A22" s="19" t="s">
        <v>38</v>
      </c>
      <c r="B22" s="18" t="s">
        <v>115</v>
      </c>
      <c r="C22" s="19" t="s">
        <v>116</v>
      </c>
      <c r="D22" s="18" t="s">
        <v>117</v>
      </c>
      <c r="E22" s="18" t="s">
        <v>29</v>
      </c>
      <c r="F22" s="20">
        <v>42</v>
      </c>
      <c r="G22" s="20">
        <v>44</v>
      </c>
      <c r="H22" s="21">
        <f t="shared" si="0"/>
        <v>4.0999999999999996</v>
      </c>
      <c r="I22" s="19" t="str">
        <f>IF(H22&lt;1,"אזל",IF(H22&lt;2,"קריטי",IF(H22&lt;'הנחות ופרמטרים'!$B$10,"נמוך",IF(H22&lt;=12,"תקין","עודף"))))</f>
        <v>תקין</v>
      </c>
      <c r="J22" s="33">
        <v>279</v>
      </c>
      <c r="K22" s="33">
        <v>112</v>
      </c>
      <c r="L22" s="34">
        <f t="shared" si="1"/>
        <v>12276</v>
      </c>
      <c r="M22" s="34">
        <f t="shared" si="2"/>
        <v>4704</v>
      </c>
      <c r="N22" s="32">
        <f t="shared" si="3"/>
        <v>4.1000220000000001</v>
      </c>
      <c r="O22" s="15" t="str">
        <f t="shared" si="4"/>
        <v>DR-4102|קניון הקריון</v>
      </c>
    </row>
    <row r="23" spans="1:15" ht="20.100000000000001" customHeight="1" x14ac:dyDescent="0.2">
      <c r="A23" s="15" t="s">
        <v>40</v>
      </c>
      <c r="B23" s="14" t="s">
        <v>118</v>
      </c>
      <c r="C23" s="15" t="s">
        <v>106</v>
      </c>
      <c r="D23" s="14" t="s">
        <v>117</v>
      </c>
      <c r="E23" s="14" t="s">
        <v>29</v>
      </c>
      <c r="F23" s="16">
        <v>40</v>
      </c>
      <c r="G23" s="16">
        <v>13</v>
      </c>
      <c r="H23" s="17">
        <f t="shared" si="0"/>
        <v>13.3</v>
      </c>
      <c r="I23" s="15" t="str">
        <f>IF(H23&lt;1,"אזל",IF(H23&lt;2,"קריטי",IF(H23&lt;'הנחות ופרמטרים'!$B$10,"נמוך",IF(H23&lt;=12,"תקין","עודף"))))</f>
        <v>עודף</v>
      </c>
      <c r="J23" s="30">
        <v>590</v>
      </c>
      <c r="K23" s="30">
        <v>245</v>
      </c>
      <c r="L23" s="31">
        <f t="shared" si="1"/>
        <v>7670</v>
      </c>
      <c r="M23" s="31">
        <f t="shared" si="2"/>
        <v>9800</v>
      </c>
      <c r="N23" s="32">
        <f t="shared" si="3"/>
        <v>13.300023000000001</v>
      </c>
      <c r="O23" s="15" t="str">
        <f t="shared" si="4"/>
        <v>DR-4108|קניון הקריון</v>
      </c>
    </row>
    <row r="24" spans="1:15" ht="20.100000000000001" customHeight="1" x14ac:dyDescent="0.2">
      <c r="A24" s="19" t="s">
        <v>42</v>
      </c>
      <c r="B24" s="18" t="s">
        <v>119</v>
      </c>
      <c r="C24" s="19" t="s">
        <v>120</v>
      </c>
      <c r="D24" s="18" t="s">
        <v>121</v>
      </c>
      <c r="E24" s="18" t="s">
        <v>29</v>
      </c>
      <c r="F24" s="20">
        <v>42</v>
      </c>
      <c r="G24" s="20">
        <v>31</v>
      </c>
      <c r="H24" s="21">
        <f t="shared" si="0"/>
        <v>5.9</v>
      </c>
      <c r="I24" s="19" t="str">
        <f>IF(H24&lt;1,"אזל",IF(H24&lt;2,"קריטי",IF(H24&lt;'הנחות ופרמטרים'!$B$10,"נמוך",IF(H24&lt;=12,"תקין","עודף"))))</f>
        <v>תקין</v>
      </c>
      <c r="J24" s="33">
        <v>449</v>
      </c>
      <c r="K24" s="33">
        <v>189</v>
      </c>
      <c r="L24" s="34">
        <f t="shared" si="1"/>
        <v>13919</v>
      </c>
      <c r="M24" s="34">
        <f t="shared" si="2"/>
        <v>7938</v>
      </c>
      <c r="N24" s="32">
        <f t="shared" si="3"/>
        <v>5.9000240000000002</v>
      </c>
      <c r="O24" s="15" t="str">
        <f t="shared" si="4"/>
        <v>JK-5501|קניון הקריון</v>
      </c>
    </row>
    <row r="25" spans="1:15" ht="20.100000000000001" customHeight="1" x14ac:dyDescent="0.2">
      <c r="A25" s="15" t="s">
        <v>44</v>
      </c>
      <c r="B25" s="14" t="s">
        <v>122</v>
      </c>
      <c r="C25" s="15" t="s">
        <v>106</v>
      </c>
      <c r="D25" s="14" t="s">
        <v>121</v>
      </c>
      <c r="E25" s="14" t="s">
        <v>29</v>
      </c>
      <c r="F25" s="16">
        <v>29</v>
      </c>
      <c r="G25" s="16">
        <v>34</v>
      </c>
      <c r="H25" s="17">
        <f t="shared" si="0"/>
        <v>3.7</v>
      </c>
      <c r="I25" s="15" t="str">
        <f>IF(H25&lt;1,"אזל",IF(H25&lt;2,"קריטי",IF(H25&lt;'הנחות ופרמטרים'!$B$10,"נמוך",IF(H25&lt;=12,"תקין","עודף"))))</f>
        <v>נמוך</v>
      </c>
      <c r="J25" s="30">
        <v>379</v>
      </c>
      <c r="K25" s="30">
        <v>154</v>
      </c>
      <c r="L25" s="31">
        <f t="shared" si="1"/>
        <v>12886</v>
      </c>
      <c r="M25" s="31">
        <f t="shared" si="2"/>
        <v>4466</v>
      </c>
      <c r="N25" s="32">
        <f t="shared" si="3"/>
        <v>3.7000250000000001</v>
      </c>
      <c r="O25" s="15" t="str">
        <f t="shared" si="4"/>
        <v>JK-5504|קניון הקריון</v>
      </c>
    </row>
    <row r="26" spans="1:15" ht="20.100000000000001" customHeight="1" x14ac:dyDescent="0.2">
      <c r="A26" s="19" t="s">
        <v>46</v>
      </c>
      <c r="B26" s="18" t="s">
        <v>123</v>
      </c>
      <c r="C26" s="19" t="s">
        <v>124</v>
      </c>
      <c r="D26" s="18" t="s">
        <v>125</v>
      </c>
      <c r="E26" s="18" t="s">
        <v>29</v>
      </c>
      <c r="F26" s="20">
        <v>113</v>
      </c>
      <c r="G26" s="20">
        <v>63</v>
      </c>
      <c r="H26" s="21">
        <f t="shared" si="0"/>
        <v>7.8</v>
      </c>
      <c r="I26" s="19" t="str">
        <f>IF(H26&lt;1,"אזל",IF(H26&lt;2,"קריטי",IF(H26&lt;'הנחות ופרמטרים'!$B$10,"נמוך",IF(H26&lt;=12,"תקין","עודף"))))</f>
        <v>תקין</v>
      </c>
      <c r="J26" s="33">
        <v>119</v>
      </c>
      <c r="K26" s="33">
        <v>42</v>
      </c>
      <c r="L26" s="34">
        <f t="shared" si="1"/>
        <v>7497</v>
      </c>
      <c r="M26" s="34">
        <f t="shared" si="2"/>
        <v>4746</v>
      </c>
      <c r="N26" s="32">
        <f t="shared" si="3"/>
        <v>7.8000259999999999</v>
      </c>
      <c r="O26" s="15" t="str">
        <f t="shared" si="4"/>
        <v>AC-6001|קניון הקריון</v>
      </c>
    </row>
    <row r="27" spans="1:15" ht="20.100000000000001" customHeight="1" x14ac:dyDescent="0.2">
      <c r="A27" s="15" t="s">
        <v>48</v>
      </c>
      <c r="B27" s="14" t="s">
        <v>126</v>
      </c>
      <c r="C27" s="15" t="s">
        <v>124</v>
      </c>
      <c r="D27" s="14" t="s">
        <v>125</v>
      </c>
      <c r="E27" s="14" t="s">
        <v>29</v>
      </c>
      <c r="F27" s="16">
        <v>113</v>
      </c>
      <c r="G27" s="16">
        <v>21</v>
      </c>
      <c r="H27" s="17">
        <f t="shared" si="0"/>
        <v>23.3</v>
      </c>
      <c r="I27" s="15" t="str">
        <f>IF(H27&lt;1,"אזל",IF(H27&lt;2,"קריטי",IF(H27&lt;'הנחות ופרמטרים'!$B$10,"נמוך",IF(H27&lt;=12,"תקין","עודף"))))</f>
        <v>עודף</v>
      </c>
      <c r="J27" s="30">
        <v>99</v>
      </c>
      <c r="K27" s="30">
        <v>38.5</v>
      </c>
      <c r="L27" s="31">
        <f t="shared" si="1"/>
        <v>2079</v>
      </c>
      <c r="M27" s="31">
        <f t="shared" si="2"/>
        <v>4350.5</v>
      </c>
      <c r="N27" s="32">
        <f t="shared" si="3"/>
        <v>23.300027</v>
      </c>
      <c r="O27" s="15" t="str">
        <f t="shared" si="4"/>
        <v>AC-6014|קניון הקריון</v>
      </c>
    </row>
    <row r="28" spans="1:15" ht="20.100000000000001" customHeight="1" x14ac:dyDescent="0.2">
      <c r="A28" s="19" t="s">
        <v>50</v>
      </c>
      <c r="B28" s="18" t="s">
        <v>127</v>
      </c>
      <c r="C28" s="19" t="s">
        <v>116</v>
      </c>
      <c r="D28" s="18" t="s">
        <v>128</v>
      </c>
      <c r="E28" s="18" t="s">
        <v>29</v>
      </c>
      <c r="F28" s="20">
        <v>9</v>
      </c>
      <c r="G28" s="20">
        <v>27</v>
      </c>
      <c r="H28" s="21">
        <f t="shared" si="0"/>
        <v>1.4</v>
      </c>
      <c r="I28" s="19" t="str">
        <f>IF(H28&lt;1,"אזל",IF(H28&lt;2,"קריטי",IF(H28&lt;'הנחות ופרמטרים'!$B$10,"נמוך",IF(H28&lt;=12,"תקין","עודף"))))</f>
        <v>קריטי</v>
      </c>
      <c r="J28" s="33">
        <v>199</v>
      </c>
      <c r="K28" s="33">
        <v>78</v>
      </c>
      <c r="L28" s="34">
        <f t="shared" si="1"/>
        <v>5373</v>
      </c>
      <c r="M28" s="34">
        <f t="shared" si="2"/>
        <v>702</v>
      </c>
      <c r="N28" s="32">
        <f t="shared" si="3"/>
        <v>1.4000279999999998</v>
      </c>
      <c r="O28" s="15" t="str">
        <f t="shared" si="4"/>
        <v>SK-7203|קניון הקריון</v>
      </c>
    </row>
    <row r="29" spans="1:15" ht="20.100000000000001" customHeight="1" x14ac:dyDescent="0.2">
      <c r="A29" s="15" t="s">
        <v>25</v>
      </c>
      <c r="B29" s="14" t="s">
        <v>105</v>
      </c>
      <c r="C29" s="15" t="s">
        <v>106</v>
      </c>
      <c r="D29" s="14" t="s">
        <v>107</v>
      </c>
      <c r="E29" s="14" t="s">
        <v>31</v>
      </c>
      <c r="F29" s="16">
        <v>151</v>
      </c>
      <c r="G29" s="16">
        <v>84</v>
      </c>
      <c r="H29" s="17">
        <f t="shared" si="0"/>
        <v>7.8</v>
      </c>
      <c r="I29" s="15" t="str">
        <f>IF(H29&lt;1,"אזל",IF(H29&lt;2,"קריטי",IF(H29&lt;'הנחות ופרמטרים'!$B$10,"נמוך",IF(H29&lt;=12,"תקין","עודף"))))</f>
        <v>תקין</v>
      </c>
      <c r="J29" s="30">
        <v>79.900000000000006</v>
      </c>
      <c r="K29" s="30">
        <v>24.9</v>
      </c>
      <c r="L29" s="31">
        <f t="shared" si="1"/>
        <v>6711.6</v>
      </c>
      <c r="M29" s="31">
        <f t="shared" si="2"/>
        <v>3759.8999999999996</v>
      </c>
      <c r="N29" s="32">
        <f t="shared" si="3"/>
        <v>7.8000289999999994</v>
      </c>
      <c r="O29" s="15" t="str">
        <f t="shared" si="4"/>
        <v>TS-1041|חיפה — הדר</v>
      </c>
    </row>
    <row r="30" spans="1:15" ht="20.100000000000001" customHeight="1" x14ac:dyDescent="0.2">
      <c r="A30" s="19" t="s">
        <v>28</v>
      </c>
      <c r="B30" s="18" t="s">
        <v>105</v>
      </c>
      <c r="C30" s="19" t="s">
        <v>108</v>
      </c>
      <c r="D30" s="18" t="s">
        <v>107</v>
      </c>
      <c r="E30" s="18" t="s">
        <v>31</v>
      </c>
      <c r="F30" s="20">
        <v>18</v>
      </c>
      <c r="G30" s="20">
        <v>74</v>
      </c>
      <c r="H30" s="21">
        <f t="shared" si="0"/>
        <v>1.1000000000000001</v>
      </c>
      <c r="I30" s="19" t="str">
        <f>IF(H30&lt;1,"אזל",IF(H30&lt;2,"קריטי",IF(H30&lt;'הנחות ופרמטרים'!$B$10,"נמוך",IF(H30&lt;=12,"תקין","עודף"))))</f>
        <v>קריטי</v>
      </c>
      <c r="J30" s="33">
        <v>79.900000000000006</v>
      </c>
      <c r="K30" s="33">
        <v>24.9</v>
      </c>
      <c r="L30" s="34">
        <f t="shared" si="1"/>
        <v>5912.6</v>
      </c>
      <c r="M30" s="34">
        <f t="shared" si="2"/>
        <v>448.2</v>
      </c>
      <c r="N30" s="32">
        <f t="shared" si="3"/>
        <v>1.1000300000000001</v>
      </c>
      <c r="O30" s="15" t="str">
        <f t="shared" si="4"/>
        <v>TS-1042|חיפה — הדר</v>
      </c>
    </row>
    <row r="31" spans="1:15" ht="20.100000000000001" customHeight="1" x14ac:dyDescent="0.2">
      <c r="A31" s="15" t="s">
        <v>30</v>
      </c>
      <c r="B31" s="14" t="s">
        <v>109</v>
      </c>
      <c r="C31" s="15" t="s">
        <v>108</v>
      </c>
      <c r="D31" s="14" t="s">
        <v>107</v>
      </c>
      <c r="E31" s="14" t="s">
        <v>31</v>
      </c>
      <c r="F31" s="16">
        <v>96</v>
      </c>
      <c r="G31" s="16">
        <v>42</v>
      </c>
      <c r="H31" s="17">
        <f t="shared" si="0"/>
        <v>9.9</v>
      </c>
      <c r="I31" s="15" t="str">
        <f>IF(H31&lt;1,"אזל",IF(H31&lt;2,"קריטי",IF(H31&lt;'הנחות ופרמטרים'!$B$10,"נמוך",IF(H31&lt;=12,"תקין","עודף"))))</f>
        <v>תקין</v>
      </c>
      <c r="J31" s="30">
        <v>189</v>
      </c>
      <c r="K31" s="30">
        <v>68</v>
      </c>
      <c r="L31" s="31">
        <f t="shared" si="1"/>
        <v>7938</v>
      </c>
      <c r="M31" s="31">
        <f t="shared" si="2"/>
        <v>6528</v>
      </c>
      <c r="N31" s="32">
        <f t="shared" si="3"/>
        <v>9.9000310000000002</v>
      </c>
      <c r="O31" s="15" t="str">
        <f t="shared" si="4"/>
        <v>SH-2210|חיפה — הדר</v>
      </c>
    </row>
    <row r="32" spans="1:15" ht="20.100000000000001" customHeight="1" x14ac:dyDescent="0.2">
      <c r="A32" s="19" t="s">
        <v>33</v>
      </c>
      <c r="B32" s="18" t="s">
        <v>110</v>
      </c>
      <c r="C32" s="19" t="s">
        <v>111</v>
      </c>
      <c r="D32" s="18" t="s">
        <v>112</v>
      </c>
      <c r="E32" s="18" t="s">
        <v>31</v>
      </c>
      <c r="F32" s="20">
        <v>9</v>
      </c>
      <c r="G32" s="20">
        <v>39</v>
      </c>
      <c r="H32" s="21">
        <f t="shared" si="0"/>
        <v>1</v>
      </c>
      <c r="I32" s="19" t="str">
        <f>IF(H32&lt;1,"אזל",IF(H32&lt;2,"קריטי",IF(H32&lt;'הנחות ופרמטרים'!$B$10,"נמוך",IF(H32&lt;=12,"תקין","עודף"))))</f>
        <v>קריטי</v>
      </c>
      <c r="J32" s="33">
        <v>249</v>
      </c>
      <c r="K32" s="33">
        <v>96.5</v>
      </c>
      <c r="L32" s="34">
        <f t="shared" si="1"/>
        <v>9711</v>
      </c>
      <c r="M32" s="34">
        <f t="shared" si="2"/>
        <v>868.5</v>
      </c>
      <c r="N32" s="32">
        <f t="shared" si="3"/>
        <v>1.000032</v>
      </c>
      <c r="O32" s="15" t="str">
        <f t="shared" si="4"/>
        <v>JN-3305|חיפה — הדר</v>
      </c>
    </row>
    <row r="33" spans="1:15" ht="20.100000000000001" customHeight="1" x14ac:dyDescent="0.2">
      <c r="A33" s="15" t="s">
        <v>35</v>
      </c>
      <c r="B33" s="14" t="s">
        <v>113</v>
      </c>
      <c r="C33" s="15" t="s">
        <v>114</v>
      </c>
      <c r="D33" s="14" t="s">
        <v>112</v>
      </c>
      <c r="E33" s="14" t="s">
        <v>31</v>
      </c>
      <c r="F33" s="16">
        <v>157</v>
      </c>
      <c r="G33" s="16">
        <v>54</v>
      </c>
      <c r="H33" s="17">
        <f t="shared" si="0"/>
        <v>12.6</v>
      </c>
      <c r="I33" s="15" t="str">
        <f>IF(H33&lt;1,"אזל",IF(H33&lt;2,"קריטי",IF(H33&lt;'הנחות ופרמטרים'!$B$10,"נמוך",IF(H33&lt;=12,"תקין","עודף"))))</f>
        <v>עודף</v>
      </c>
      <c r="J33" s="30">
        <v>249</v>
      </c>
      <c r="K33" s="30">
        <v>96.5</v>
      </c>
      <c r="L33" s="31">
        <f t="shared" si="1"/>
        <v>13446</v>
      </c>
      <c r="M33" s="31">
        <f t="shared" si="2"/>
        <v>15150.5</v>
      </c>
      <c r="N33" s="32">
        <f t="shared" si="3"/>
        <v>12.600033</v>
      </c>
      <c r="O33" s="15" t="str">
        <f t="shared" si="4"/>
        <v>JN-3307|חיפה — הדר</v>
      </c>
    </row>
    <row r="34" spans="1:15" ht="20.100000000000001" customHeight="1" x14ac:dyDescent="0.2">
      <c r="A34" s="19" t="s">
        <v>38</v>
      </c>
      <c r="B34" s="18" t="s">
        <v>115</v>
      </c>
      <c r="C34" s="19" t="s">
        <v>116</v>
      </c>
      <c r="D34" s="18" t="s">
        <v>117</v>
      </c>
      <c r="E34" s="18" t="s">
        <v>31</v>
      </c>
      <c r="F34" s="20">
        <v>26</v>
      </c>
      <c r="G34" s="20">
        <v>31</v>
      </c>
      <c r="H34" s="21">
        <f t="shared" si="0"/>
        <v>3.6</v>
      </c>
      <c r="I34" s="19" t="str">
        <f>IF(H34&lt;1,"אזל",IF(H34&lt;2,"קריטי",IF(H34&lt;'הנחות ופרמטרים'!$B$10,"נמוך",IF(H34&lt;=12,"תקין","עודף"))))</f>
        <v>נמוך</v>
      </c>
      <c r="J34" s="33">
        <v>279</v>
      </c>
      <c r="K34" s="33">
        <v>112</v>
      </c>
      <c r="L34" s="34">
        <f t="shared" si="1"/>
        <v>8649</v>
      </c>
      <c r="M34" s="34">
        <f t="shared" si="2"/>
        <v>2912</v>
      </c>
      <c r="N34" s="32">
        <f t="shared" si="3"/>
        <v>3.600034</v>
      </c>
      <c r="O34" s="15" t="str">
        <f t="shared" si="4"/>
        <v>DR-4102|חיפה — הדר</v>
      </c>
    </row>
    <row r="35" spans="1:15" ht="20.100000000000001" customHeight="1" x14ac:dyDescent="0.2">
      <c r="A35" s="15" t="s">
        <v>40</v>
      </c>
      <c r="B35" s="14" t="s">
        <v>118</v>
      </c>
      <c r="C35" s="15" t="s">
        <v>106</v>
      </c>
      <c r="D35" s="14" t="s">
        <v>117</v>
      </c>
      <c r="E35" s="14" t="s">
        <v>31</v>
      </c>
      <c r="F35" s="16">
        <v>26</v>
      </c>
      <c r="G35" s="16">
        <v>10</v>
      </c>
      <c r="H35" s="17">
        <f t="shared" si="0"/>
        <v>11.3</v>
      </c>
      <c r="I35" s="15" t="str">
        <f>IF(H35&lt;1,"אזל",IF(H35&lt;2,"קריטי",IF(H35&lt;'הנחות ופרמטרים'!$B$10,"נמוך",IF(H35&lt;=12,"תקין","עודף"))))</f>
        <v>תקין</v>
      </c>
      <c r="J35" s="30">
        <v>590</v>
      </c>
      <c r="K35" s="30">
        <v>245</v>
      </c>
      <c r="L35" s="31">
        <f t="shared" si="1"/>
        <v>5900</v>
      </c>
      <c r="M35" s="31">
        <f t="shared" si="2"/>
        <v>6370</v>
      </c>
      <c r="N35" s="32">
        <f t="shared" si="3"/>
        <v>11.300035000000001</v>
      </c>
      <c r="O35" s="15" t="str">
        <f t="shared" si="4"/>
        <v>DR-4108|חיפה — הדר</v>
      </c>
    </row>
    <row r="36" spans="1:15" ht="20.100000000000001" customHeight="1" x14ac:dyDescent="0.2">
      <c r="A36" s="19" t="s">
        <v>42</v>
      </c>
      <c r="B36" s="18" t="s">
        <v>119</v>
      </c>
      <c r="C36" s="19" t="s">
        <v>120</v>
      </c>
      <c r="D36" s="18" t="s">
        <v>121</v>
      </c>
      <c r="E36" s="18" t="s">
        <v>31</v>
      </c>
      <c r="F36" s="20">
        <v>25</v>
      </c>
      <c r="G36" s="20">
        <v>21</v>
      </c>
      <c r="H36" s="21">
        <f t="shared" si="0"/>
        <v>5.2</v>
      </c>
      <c r="I36" s="19" t="str">
        <f>IF(H36&lt;1,"אזל",IF(H36&lt;2,"קריטי",IF(H36&lt;'הנחות ופרמטרים'!$B$10,"נמוך",IF(H36&lt;=12,"תקין","עודף"))))</f>
        <v>תקין</v>
      </c>
      <c r="J36" s="33">
        <v>449</v>
      </c>
      <c r="K36" s="33">
        <v>189</v>
      </c>
      <c r="L36" s="34">
        <f t="shared" si="1"/>
        <v>9429</v>
      </c>
      <c r="M36" s="34">
        <f t="shared" si="2"/>
        <v>4725</v>
      </c>
      <c r="N36" s="32">
        <f t="shared" si="3"/>
        <v>5.2000359999999999</v>
      </c>
      <c r="O36" s="15" t="str">
        <f t="shared" si="4"/>
        <v>JK-5501|חיפה — הדר</v>
      </c>
    </row>
    <row r="37" spans="1:15" ht="20.100000000000001" customHeight="1" x14ac:dyDescent="0.2">
      <c r="A37" s="15" t="s">
        <v>44</v>
      </c>
      <c r="B37" s="14" t="s">
        <v>122</v>
      </c>
      <c r="C37" s="15" t="s">
        <v>106</v>
      </c>
      <c r="D37" s="14" t="s">
        <v>121</v>
      </c>
      <c r="E37" s="14" t="s">
        <v>31</v>
      </c>
      <c r="F37" s="16">
        <v>19</v>
      </c>
      <c r="G37" s="16">
        <v>24</v>
      </c>
      <c r="H37" s="17">
        <f t="shared" ref="H37:H68" si="5">ROUND(F37/(G37/4.33),1)</f>
        <v>3.4</v>
      </c>
      <c r="I37" s="15" t="str">
        <f>IF(H37&lt;1,"אזל",IF(H37&lt;2,"קריטי",IF(H37&lt;'הנחות ופרמטרים'!$B$10,"נמוך",IF(H37&lt;=12,"תקין","עודף"))))</f>
        <v>נמוך</v>
      </c>
      <c r="J37" s="30">
        <v>379</v>
      </c>
      <c r="K37" s="30">
        <v>154</v>
      </c>
      <c r="L37" s="31">
        <f t="shared" ref="L37:L68" si="6">G37*J37</f>
        <v>9096</v>
      </c>
      <c r="M37" s="31">
        <f t="shared" ref="M37:M68" si="7">F37*K37</f>
        <v>2926</v>
      </c>
      <c r="N37" s="32">
        <f t="shared" ref="N37:N68" si="8">H37+ROW()/1000000</f>
        <v>3.4000369999999998</v>
      </c>
      <c r="O37" s="15" t="str">
        <f t="shared" ref="O37:O68" si="9">A37&amp;"|"&amp;E37</f>
        <v>JK-5504|חיפה — הדר</v>
      </c>
    </row>
    <row r="38" spans="1:15" ht="20.100000000000001" customHeight="1" x14ac:dyDescent="0.2">
      <c r="A38" s="19" t="s">
        <v>46</v>
      </c>
      <c r="B38" s="18" t="s">
        <v>123</v>
      </c>
      <c r="C38" s="19" t="s">
        <v>124</v>
      </c>
      <c r="D38" s="18" t="s">
        <v>125</v>
      </c>
      <c r="E38" s="18" t="s">
        <v>31</v>
      </c>
      <c r="F38" s="20">
        <v>32</v>
      </c>
      <c r="G38" s="20">
        <v>21</v>
      </c>
      <c r="H38" s="21">
        <f t="shared" si="5"/>
        <v>6.6</v>
      </c>
      <c r="I38" s="19" t="str">
        <f>IF(H38&lt;1,"אזל",IF(H38&lt;2,"קריטי",IF(H38&lt;'הנחות ופרמטרים'!$B$10,"נמוך",IF(H38&lt;=12,"תקין","עודף"))))</f>
        <v>תקין</v>
      </c>
      <c r="J38" s="33">
        <v>119</v>
      </c>
      <c r="K38" s="33">
        <v>42</v>
      </c>
      <c r="L38" s="34">
        <f t="shared" si="6"/>
        <v>2499</v>
      </c>
      <c r="M38" s="34">
        <f t="shared" si="7"/>
        <v>1344</v>
      </c>
      <c r="N38" s="32">
        <f t="shared" si="8"/>
        <v>6.6000379999999996</v>
      </c>
      <c r="O38" s="15" t="str">
        <f t="shared" si="9"/>
        <v>AC-6001|חיפה — הדר</v>
      </c>
    </row>
    <row r="39" spans="1:15" ht="20.100000000000001" customHeight="1" x14ac:dyDescent="0.2">
      <c r="A39" s="15" t="s">
        <v>48</v>
      </c>
      <c r="B39" s="14" t="s">
        <v>126</v>
      </c>
      <c r="C39" s="15" t="s">
        <v>124</v>
      </c>
      <c r="D39" s="14" t="s">
        <v>125</v>
      </c>
      <c r="E39" s="14" t="s">
        <v>31</v>
      </c>
      <c r="F39" s="16">
        <v>68</v>
      </c>
      <c r="G39" s="16">
        <v>14</v>
      </c>
      <c r="H39" s="17">
        <f t="shared" si="5"/>
        <v>21</v>
      </c>
      <c r="I39" s="15" t="str">
        <f>IF(H39&lt;1,"אזל",IF(H39&lt;2,"קריטי",IF(H39&lt;'הנחות ופרמטרים'!$B$10,"נמוך",IF(H39&lt;=12,"תקין","עודף"))))</f>
        <v>עודף</v>
      </c>
      <c r="J39" s="30">
        <v>99</v>
      </c>
      <c r="K39" s="30">
        <v>38.5</v>
      </c>
      <c r="L39" s="31">
        <f t="shared" si="6"/>
        <v>1386</v>
      </c>
      <c r="M39" s="31">
        <f t="shared" si="7"/>
        <v>2618</v>
      </c>
      <c r="N39" s="32">
        <f t="shared" si="8"/>
        <v>21.000039000000001</v>
      </c>
      <c r="O39" s="15" t="str">
        <f t="shared" si="9"/>
        <v>AC-6014|חיפה — הדר</v>
      </c>
    </row>
    <row r="40" spans="1:15" ht="20.100000000000001" customHeight="1" x14ac:dyDescent="0.2">
      <c r="A40" s="19" t="s">
        <v>50</v>
      </c>
      <c r="B40" s="18" t="s">
        <v>127</v>
      </c>
      <c r="C40" s="19" t="s">
        <v>116</v>
      </c>
      <c r="D40" s="18" t="s">
        <v>128</v>
      </c>
      <c r="E40" s="18" t="s">
        <v>31</v>
      </c>
      <c r="F40" s="20">
        <v>12</v>
      </c>
      <c r="G40" s="20">
        <v>19</v>
      </c>
      <c r="H40" s="21">
        <f t="shared" si="5"/>
        <v>2.7</v>
      </c>
      <c r="I40" s="19" t="str">
        <f>IF(H40&lt;1,"אזל",IF(H40&lt;2,"קריטי",IF(H40&lt;'הנחות ופרמטרים'!$B$10,"נמוך",IF(H40&lt;=12,"תקין","עודף"))))</f>
        <v>נמוך</v>
      </c>
      <c r="J40" s="33">
        <v>199</v>
      </c>
      <c r="K40" s="33">
        <v>78</v>
      </c>
      <c r="L40" s="34">
        <f t="shared" si="6"/>
        <v>3781</v>
      </c>
      <c r="M40" s="34">
        <f t="shared" si="7"/>
        <v>936</v>
      </c>
      <c r="N40" s="32">
        <f t="shared" si="8"/>
        <v>2.70004</v>
      </c>
      <c r="O40" s="15" t="str">
        <f t="shared" si="9"/>
        <v>SK-7203|חיפה — הדר</v>
      </c>
    </row>
    <row r="41" spans="1:15" ht="20.100000000000001" customHeight="1" x14ac:dyDescent="0.2">
      <c r="A41" s="15" t="s">
        <v>25</v>
      </c>
      <c r="B41" s="14" t="s">
        <v>105</v>
      </c>
      <c r="C41" s="15" t="s">
        <v>106</v>
      </c>
      <c r="D41" s="14" t="s">
        <v>107</v>
      </c>
      <c r="E41" s="14" t="s">
        <v>34</v>
      </c>
      <c r="F41" s="16">
        <v>320</v>
      </c>
      <c r="G41" s="16">
        <v>198</v>
      </c>
      <c r="H41" s="17">
        <f t="shared" si="5"/>
        <v>7</v>
      </c>
      <c r="I41" s="15" t="str">
        <f>IF(H41&lt;1,"אזל",IF(H41&lt;2,"קריטי",IF(H41&lt;'הנחות ופרמטרים'!$B$10,"נמוך",IF(H41&lt;=12,"תקין","עודף"))))</f>
        <v>תקין</v>
      </c>
      <c r="J41" s="30">
        <v>79.900000000000006</v>
      </c>
      <c r="K41" s="30">
        <v>24.9</v>
      </c>
      <c r="L41" s="31">
        <f t="shared" si="6"/>
        <v>15820.2</v>
      </c>
      <c r="M41" s="31">
        <f t="shared" si="7"/>
        <v>7968</v>
      </c>
      <c r="N41" s="32">
        <f t="shared" si="8"/>
        <v>7.0000410000000004</v>
      </c>
      <c r="O41" s="15" t="str">
        <f t="shared" si="9"/>
        <v>TS-1041|עזריאלי תל אביב</v>
      </c>
    </row>
    <row r="42" spans="1:15" ht="20.100000000000001" customHeight="1" x14ac:dyDescent="0.2">
      <c r="A42" s="19" t="s">
        <v>28</v>
      </c>
      <c r="B42" s="18" t="s">
        <v>105</v>
      </c>
      <c r="C42" s="19" t="s">
        <v>108</v>
      </c>
      <c r="D42" s="18" t="s">
        <v>107</v>
      </c>
      <c r="E42" s="18" t="s">
        <v>34</v>
      </c>
      <c r="F42" s="20">
        <v>89</v>
      </c>
      <c r="G42" s="20">
        <v>183</v>
      </c>
      <c r="H42" s="21">
        <f t="shared" si="5"/>
        <v>2.1</v>
      </c>
      <c r="I42" s="19" t="str">
        <f>IF(H42&lt;1,"אזל",IF(H42&lt;2,"קריטי",IF(H42&lt;'הנחות ופרמטרים'!$B$10,"נמוך",IF(H42&lt;=12,"תקין","עודף"))))</f>
        <v>נמוך</v>
      </c>
      <c r="J42" s="33">
        <v>79.900000000000006</v>
      </c>
      <c r="K42" s="33">
        <v>24.9</v>
      </c>
      <c r="L42" s="34">
        <f t="shared" si="6"/>
        <v>14621.7</v>
      </c>
      <c r="M42" s="34">
        <f t="shared" si="7"/>
        <v>2216.1</v>
      </c>
      <c r="N42" s="32">
        <f t="shared" si="8"/>
        <v>2.1000420000000002</v>
      </c>
      <c r="O42" s="15" t="str">
        <f t="shared" si="9"/>
        <v>TS-1042|עזריאלי תל אביב</v>
      </c>
    </row>
    <row r="43" spans="1:15" ht="20.100000000000001" customHeight="1" x14ac:dyDescent="0.2">
      <c r="A43" s="15" t="s">
        <v>30</v>
      </c>
      <c r="B43" s="14" t="s">
        <v>109</v>
      </c>
      <c r="C43" s="15" t="s">
        <v>108</v>
      </c>
      <c r="D43" s="14" t="s">
        <v>107</v>
      </c>
      <c r="E43" s="14" t="s">
        <v>34</v>
      </c>
      <c r="F43" s="16">
        <v>195</v>
      </c>
      <c r="G43" s="16">
        <v>97</v>
      </c>
      <c r="H43" s="17">
        <f t="shared" si="5"/>
        <v>8.6999999999999993</v>
      </c>
      <c r="I43" s="15" t="str">
        <f>IF(H43&lt;1,"אזל",IF(H43&lt;2,"קריטי",IF(H43&lt;'הנחות ופרמטרים'!$B$10,"נמוך",IF(H43&lt;=12,"תקין","עודף"))))</f>
        <v>תקין</v>
      </c>
      <c r="J43" s="30">
        <v>189</v>
      </c>
      <c r="K43" s="30">
        <v>68</v>
      </c>
      <c r="L43" s="31">
        <f t="shared" si="6"/>
        <v>18333</v>
      </c>
      <c r="M43" s="31">
        <f t="shared" si="7"/>
        <v>13260</v>
      </c>
      <c r="N43" s="32">
        <f t="shared" si="8"/>
        <v>8.7000429999999991</v>
      </c>
      <c r="O43" s="15" t="str">
        <f t="shared" si="9"/>
        <v>SH-2210|עזריאלי תל אביב</v>
      </c>
    </row>
    <row r="44" spans="1:15" ht="20.100000000000001" customHeight="1" x14ac:dyDescent="0.2">
      <c r="A44" s="19" t="s">
        <v>33</v>
      </c>
      <c r="B44" s="18" t="s">
        <v>110</v>
      </c>
      <c r="C44" s="19" t="s">
        <v>111</v>
      </c>
      <c r="D44" s="18" t="s">
        <v>112</v>
      </c>
      <c r="E44" s="18" t="s">
        <v>34</v>
      </c>
      <c r="F44" s="20">
        <v>19</v>
      </c>
      <c r="G44" s="20">
        <v>92</v>
      </c>
      <c r="H44" s="21">
        <f t="shared" si="5"/>
        <v>0.9</v>
      </c>
      <c r="I44" s="19" t="str">
        <f>IF(H44&lt;1,"אזל",IF(H44&lt;2,"קריטי",IF(H44&lt;'הנחות ופרמטרים'!$B$10,"נמוך",IF(H44&lt;=12,"תקין","עודף"))))</f>
        <v>אזל</v>
      </c>
      <c r="J44" s="33">
        <v>249</v>
      </c>
      <c r="K44" s="33">
        <v>96.5</v>
      </c>
      <c r="L44" s="34">
        <f t="shared" si="6"/>
        <v>22908</v>
      </c>
      <c r="M44" s="34">
        <f t="shared" si="7"/>
        <v>1833.5</v>
      </c>
      <c r="N44" s="32">
        <f t="shared" si="8"/>
        <v>0.90004400000000007</v>
      </c>
      <c r="O44" s="15" t="str">
        <f t="shared" si="9"/>
        <v>JN-3305|עזריאלי תל אביב</v>
      </c>
    </row>
    <row r="45" spans="1:15" ht="20.100000000000001" customHeight="1" x14ac:dyDescent="0.2">
      <c r="A45" s="15" t="s">
        <v>35</v>
      </c>
      <c r="B45" s="14" t="s">
        <v>113</v>
      </c>
      <c r="C45" s="15" t="s">
        <v>114</v>
      </c>
      <c r="D45" s="14" t="s">
        <v>112</v>
      </c>
      <c r="E45" s="14" t="s">
        <v>34</v>
      </c>
      <c r="F45" s="16">
        <v>154</v>
      </c>
      <c r="G45" s="16">
        <v>62</v>
      </c>
      <c r="H45" s="17">
        <f t="shared" si="5"/>
        <v>10.8</v>
      </c>
      <c r="I45" s="15" t="str">
        <f>IF(H45&lt;1,"אזל",IF(H45&lt;2,"קריטי",IF(H45&lt;'הנחות ופרמטרים'!$B$10,"נמוך",IF(H45&lt;=12,"תקין","עודף"))))</f>
        <v>תקין</v>
      </c>
      <c r="J45" s="30">
        <v>249</v>
      </c>
      <c r="K45" s="30">
        <v>96.5</v>
      </c>
      <c r="L45" s="31">
        <f t="shared" si="6"/>
        <v>15438</v>
      </c>
      <c r="M45" s="31">
        <f t="shared" si="7"/>
        <v>14861</v>
      </c>
      <c r="N45" s="32">
        <f t="shared" si="8"/>
        <v>10.800045000000001</v>
      </c>
      <c r="O45" s="15" t="str">
        <f t="shared" si="9"/>
        <v>JN-3307|עזריאלי תל אביב</v>
      </c>
    </row>
    <row r="46" spans="1:15" ht="20.100000000000001" customHeight="1" x14ac:dyDescent="0.2">
      <c r="A46" s="19" t="s">
        <v>38</v>
      </c>
      <c r="B46" s="18" t="s">
        <v>115</v>
      </c>
      <c r="C46" s="19" t="s">
        <v>116</v>
      </c>
      <c r="D46" s="18" t="s">
        <v>117</v>
      </c>
      <c r="E46" s="18" t="s">
        <v>34</v>
      </c>
      <c r="F46" s="20">
        <v>54</v>
      </c>
      <c r="G46" s="20">
        <v>71</v>
      </c>
      <c r="H46" s="21">
        <f t="shared" si="5"/>
        <v>3.3</v>
      </c>
      <c r="I46" s="19" t="str">
        <f>IF(H46&lt;1,"אזל",IF(H46&lt;2,"קריטי",IF(H46&lt;'הנחות ופרמטרים'!$B$10,"נמוך",IF(H46&lt;=12,"תקין","עודף"))))</f>
        <v>נמוך</v>
      </c>
      <c r="J46" s="33">
        <v>279</v>
      </c>
      <c r="K46" s="33">
        <v>112</v>
      </c>
      <c r="L46" s="34">
        <f t="shared" si="6"/>
        <v>19809</v>
      </c>
      <c r="M46" s="34">
        <f t="shared" si="7"/>
        <v>6048</v>
      </c>
      <c r="N46" s="32">
        <f t="shared" si="8"/>
        <v>3.300046</v>
      </c>
      <c r="O46" s="15" t="str">
        <f t="shared" si="9"/>
        <v>DR-4102|עזריאלי תל אביב</v>
      </c>
    </row>
    <row r="47" spans="1:15" ht="20.100000000000001" customHeight="1" x14ac:dyDescent="0.2">
      <c r="A47" s="15" t="s">
        <v>40</v>
      </c>
      <c r="B47" s="14" t="s">
        <v>118</v>
      </c>
      <c r="C47" s="15" t="s">
        <v>106</v>
      </c>
      <c r="D47" s="14" t="s">
        <v>117</v>
      </c>
      <c r="E47" s="14" t="s">
        <v>34</v>
      </c>
      <c r="F47" s="16">
        <v>122</v>
      </c>
      <c r="G47" s="16">
        <v>23</v>
      </c>
      <c r="H47" s="17">
        <f t="shared" si="5"/>
        <v>23</v>
      </c>
      <c r="I47" s="15" t="str">
        <f>IF(H47&lt;1,"אזל",IF(H47&lt;2,"קריטי",IF(H47&lt;'הנחות ופרמטרים'!$B$10,"נמוך",IF(H47&lt;=12,"תקין","עודף"))))</f>
        <v>עודף</v>
      </c>
      <c r="J47" s="30">
        <v>590</v>
      </c>
      <c r="K47" s="30">
        <v>245</v>
      </c>
      <c r="L47" s="31">
        <f t="shared" si="6"/>
        <v>13570</v>
      </c>
      <c r="M47" s="31">
        <f t="shared" si="7"/>
        <v>29890</v>
      </c>
      <c r="N47" s="32">
        <f t="shared" si="8"/>
        <v>23.000046999999999</v>
      </c>
      <c r="O47" s="15" t="str">
        <f t="shared" si="9"/>
        <v>DR-4108|עזריאלי תל אביב</v>
      </c>
    </row>
    <row r="48" spans="1:15" ht="20.100000000000001" customHeight="1" x14ac:dyDescent="0.2">
      <c r="A48" s="19" t="s">
        <v>42</v>
      </c>
      <c r="B48" s="18" t="s">
        <v>119</v>
      </c>
      <c r="C48" s="19" t="s">
        <v>120</v>
      </c>
      <c r="D48" s="18" t="s">
        <v>121</v>
      </c>
      <c r="E48" s="18" t="s">
        <v>34</v>
      </c>
      <c r="F48" s="20">
        <v>24</v>
      </c>
      <c r="G48" s="20">
        <v>23</v>
      </c>
      <c r="H48" s="21">
        <f t="shared" si="5"/>
        <v>4.5</v>
      </c>
      <c r="I48" s="19" t="str">
        <f>IF(H48&lt;1,"אזל",IF(H48&lt;2,"קריטי",IF(H48&lt;'הנחות ופרמטרים'!$B$10,"נמוך",IF(H48&lt;=12,"תקין","עודף"))))</f>
        <v>תקין</v>
      </c>
      <c r="J48" s="33">
        <v>449</v>
      </c>
      <c r="K48" s="33">
        <v>189</v>
      </c>
      <c r="L48" s="34">
        <f t="shared" si="6"/>
        <v>10327</v>
      </c>
      <c r="M48" s="34">
        <f t="shared" si="7"/>
        <v>4536</v>
      </c>
      <c r="N48" s="32">
        <f t="shared" si="8"/>
        <v>4.5000479999999996</v>
      </c>
      <c r="O48" s="15" t="str">
        <f t="shared" si="9"/>
        <v>JK-5501|עזריאלי תל אביב</v>
      </c>
    </row>
    <row r="49" spans="1:15" ht="20.100000000000001" customHeight="1" x14ac:dyDescent="0.2">
      <c r="A49" s="15" t="s">
        <v>44</v>
      </c>
      <c r="B49" s="14" t="s">
        <v>122</v>
      </c>
      <c r="C49" s="15" t="s">
        <v>106</v>
      </c>
      <c r="D49" s="14" t="s">
        <v>121</v>
      </c>
      <c r="E49" s="14" t="s">
        <v>34</v>
      </c>
      <c r="F49" s="16">
        <v>41</v>
      </c>
      <c r="G49" s="16">
        <v>57</v>
      </c>
      <c r="H49" s="17">
        <f t="shared" si="5"/>
        <v>3.1</v>
      </c>
      <c r="I49" s="15" t="str">
        <f>IF(H49&lt;1,"אזל",IF(H49&lt;2,"קריטי",IF(H49&lt;'הנחות ופרמטרים'!$B$10,"נמוך",IF(H49&lt;=12,"תקין","עודף"))))</f>
        <v>נמוך</v>
      </c>
      <c r="J49" s="30">
        <v>379</v>
      </c>
      <c r="K49" s="30">
        <v>154</v>
      </c>
      <c r="L49" s="31">
        <f t="shared" si="6"/>
        <v>21603</v>
      </c>
      <c r="M49" s="31">
        <f t="shared" si="7"/>
        <v>6314</v>
      </c>
      <c r="N49" s="32">
        <f t="shared" si="8"/>
        <v>3.1000490000000003</v>
      </c>
      <c r="O49" s="15" t="str">
        <f t="shared" si="9"/>
        <v>JK-5504|עזריאלי תל אביב</v>
      </c>
    </row>
    <row r="50" spans="1:15" ht="20.100000000000001" customHeight="1" x14ac:dyDescent="0.2">
      <c r="A50" s="19" t="s">
        <v>46</v>
      </c>
      <c r="B50" s="18" t="s">
        <v>123</v>
      </c>
      <c r="C50" s="19" t="s">
        <v>124</v>
      </c>
      <c r="D50" s="18" t="s">
        <v>125</v>
      </c>
      <c r="E50" s="18" t="s">
        <v>34</v>
      </c>
      <c r="F50" s="20">
        <v>66</v>
      </c>
      <c r="G50" s="20">
        <v>51</v>
      </c>
      <c r="H50" s="21">
        <f t="shared" si="5"/>
        <v>5.6</v>
      </c>
      <c r="I50" s="19" t="str">
        <f>IF(H50&lt;1,"אזל",IF(H50&lt;2,"קריטי",IF(H50&lt;'הנחות ופרמטרים'!$B$10,"נמוך",IF(H50&lt;=12,"תקין","עודף"))))</f>
        <v>תקין</v>
      </c>
      <c r="J50" s="33">
        <v>119</v>
      </c>
      <c r="K50" s="33">
        <v>42</v>
      </c>
      <c r="L50" s="34">
        <f t="shared" si="6"/>
        <v>6069</v>
      </c>
      <c r="M50" s="34">
        <f t="shared" si="7"/>
        <v>2772</v>
      </c>
      <c r="N50" s="32">
        <f t="shared" si="8"/>
        <v>5.6000499999999995</v>
      </c>
      <c r="O50" s="15" t="str">
        <f t="shared" si="9"/>
        <v>AC-6001|עזריאלי תל אביב</v>
      </c>
    </row>
    <row r="51" spans="1:15" ht="20.100000000000001" customHeight="1" x14ac:dyDescent="0.2">
      <c r="A51" s="15" t="s">
        <v>48</v>
      </c>
      <c r="B51" s="14" t="s">
        <v>126</v>
      </c>
      <c r="C51" s="15" t="s">
        <v>124</v>
      </c>
      <c r="D51" s="14" t="s">
        <v>125</v>
      </c>
      <c r="E51" s="14" t="s">
        <v>34</v>
      </c>
      <c r="F51" s="16">
        <v>142</v>
      </c>
      <c r="G51" s="16">
        <v>33</v>
      </c>
      <c r="H51" s="17">
        <f t="shared" si="5"/>
        <v>18.600000000000001</v>
      </c>
      <c r="I51" s="15" t="str">
        <f>IF(H51&lt;1,"אזל",IF(H51&lt;2,"קריטי",IF(H51&lt;'הנחות ופרמטרים'!$B$10,"נמוך",IF(H51&lt;=12,"תקין","עודף"))))</f>
        <v>עודף</v>
      </c>
      <c r="J51" s="30">
        <v>99</v>
      </c>
      <c r="K51" s="30">
        <v>38.5</v>
      </c>
      <c r="L51" s="31">
        <f t="shared" si="6"/>
        <v>3267</v>
      </c>
      <c r="M51" s="31">
        <f t="shared" si="7"/>
        <v>5467</v>
      </c>
      <c r="N51" s="32">
        <f t="shared" si="8"/>
        <v>18.600051000000001</v>
      </c>
      <c r="O51" s="15" t="str">
        <f t="shared" si="9"/>
        <v>AC-6014|עזריאלי תל אביב</v>
      </c>
    </row>
    <row r="52" spans="1:15" ht="20.100000000000001" customHeight="1" x14ac:dyDescent="0.2">
      <c r="A52" s="19" t="s">
        <v>50</v>
      </c>
      <c r="B52" s="18" t="s">
        <v>127</v>
      </c>
      <c r="C52" s="19" t="s">
        <v>116</v>
      </c>
      <c r="D52" s="18" t="s">
        <v>128</v>
      </c>
      <c r="E52" s="18" t="s">
        <v>34</v>
      </c>
      <c r="F52" s="20">
        <v>26</v>
      </c>
      <c r="G52" s="20">
        <v>45</v>
      </c>
      <c r="H52" s="21">
        <f t="shared" si="5"/>
        <v>2.5</v>
      </c>
      <c r="I52" s="19" t="str">
        <f>IF(H52&lt;1,"אזל",IF(H52&lt;2,"קריטי",IF(H52&lt;'הנחות ופרמטרים'!$B$10,"נמוך",IF(H52&lt;=12,"תקין","עודף"))))</f>
        <v>נמוך</v>
      </c>
      <c r="J52" s="33">
        <v>199</v>
      </c>
      <c r="K52" s="33">
        <v>78</v>
      </c>
      <c r="L52" s="34">
        <f t="shared" si="6"/>
        <v>8955</v>
      </c>
      <c r="M52" s="34">
        <f t="shared" si="7"/>
        <v>2028</v>
      </c>
      <c r="N52" s="32">
        <f t="shared" si="8"/>
        <v>2.5000520000000002</v>
      </c>
      <c r="O52" s="15" t="str">
        <f t="shared" si="9"/>
        <v>SK-7203|עזריאלי תל אביב</v>
      </c>
    </row>
    <row r="53" spans="1:15" ht="20.100000000000001" customHeight="1" x14ac:dyDescent="0.2">
      <c r="A53" s="15" t="s">
        <v>25</v>
      </c>
      <c r="B53" s="14" t="s">
        <v>105</v>
      </c>
      <c r="C53" s="15" t="s">
        <v>106</v>
      </c>
      <c r="D53" s="14" t="s">
        <v>107</v>
      </c>
      <c r="E53" s="14" t="s">
        <v>36</v>
      </c>
      <c r="F53" s="16">
        <v>221</v>
      </c>
      <c r="G53" s="16">
        <v>154</v>
      </c>
      <c r="H53" s="17">
        <f t="shared" si="5"/>
        <v>6.2</v>
      </c>
      <c r="I53" s="15" t="str">
        <f>IF(H53&lt;1,"אזל",IF(H53&lt;2,"קריטי",IF(H53&lt;'הנחות ופרמטרים'!$B$10,"נמוך",IF(H53&lt;=12,"תקין","עודף"))))</f>
        <v>תקין</v>
      </c>
      <c r="J53" s="30">
        <v>79.900000000000006</v>
      </c>
      <c r="K53" s="30">
        <v>24.9</v>
      </c>
      <c r="L53" s="31">
        <f t="shared" si="6"/>
        <v>12304.6</v>
      </c>
      <c r="M53" s="31">
        <f t="shared" si="7"/>
        <v>5502.9</v>
      </c>
      <c r="N53" s="32">
        <f t="shared" si="8"/>
        <v>6.2000530000000005</v>
      </c>
      <c r="O53" s="15" t="str">
        <f t="shared" si="9"/>
        <v>TS-1041|קניון מלחה ירושלים</v>
      </c>
    </row>
    <row r="54" spans="1:15" ht="20.100000000000001" customHeight="1" x14ac:dyDescent="0.2">
      <c r="A54" s="19" t="s">
        <v>28</v>
      </c>
      <c r="B54" s="18" t="s">
        <v>105</v>
      </c>
      <c r="C54" s="19" t="s">
        <v>108</v>
      </c>
      <c r="D54" s="18" t="s">
        <v>107</v>
      </c>
      <c r="E54" s="18" t="s">
        <v>36</v>
      </c>
      <c r="F54" s="20">
        <v>65</v>
      </c>
      <c r="G54" s="20">
        <v>147</v>
      </c>
      <c r="H54" s="21">
        <f t="shared" si="5"/>
        <v>1.9</v>
      </c>
      <c r="I54" s="19" t="str">
        <f>IF(H54&lt;1,"אזל",IF(H54&lt;2,"קריטי",IF(H54&lt;'הנחות ופרמטרים'!$B$10,"נמוך",IF(H54&lt;=12,"תקין","עודף"))))</f>
        <v>קריטי</v>
      </c>
      <c r="J54" s="33">
        <v>79.900000000000006</v>
      </c>
      <c r="K54" s="33">
        <v>24.9</v>
      </c>
      <c r="L54" s="34">
        <f t="shared" si="6"/>
        <v>11745.300000000001</v>
      </c>
      <c r="M54" s="34">
        <f t="shared" si="7"/>
        <v>1618.5</v>
      </c>
      <c r="N54" s="32">
        <f t="shared" si="8"/>
        <v>1.9000539999999999</v>
      </c>
      <c r="O54" s="15" t="str">
        <f t="shared" si="9"/>
        <v>TS-1042|קניון מלחה ירושלים</v>
      </c>
    </row>
    <row r="55" spans="1:15" ht="20.100000000000001" customHeight="1" x14ac:dyDescent="0.2">
      <c r="A55" s="15" t="s">
        <v>30</v>
      </c>
      <c r="B55" s="14" t="s">
        <v>109</v>
      </c>
      <c r="C55" s="15" t="s">
        <v>108</v>
      </c>
      <c r="D55" s="14" t="s">
        <v>107</v>
      </c>
      <c r="E55" s="14" t="s">
        <v>36</v>
      </c>
      <c r="F55" s="16">
        <v>61</v>
      </c>
      <c r="G55" s="16">
        <v>35</v>
      </c>
      <c r="H55" s="17">
        <f t="shared" si="5"/>
        <v>7.5</v>
      </c>
      <c r="I55" s="15" t="str">
        <f>IF(H55&lt;1,"אזל",IF(H55&lt;2,"קריטי",IF(H55&lt;'הנחות ופרמטרים'!$B$10,"נמוך",IF(H55&lt;=12,"תקין","עודף"))))</f>
        <v>תקין</v>
      </c>
      <c r="J55" s="30">
        <v>189</v>
      </c>
      <c r="K55" s="30">
        <v>68</v>
      </c>
      <c r="L55" s="31">
        <f t="shared" si="6"/>
        <v>6615</v>
      </c>
      <c r="M55" s="31">
        <f t="shared" si="7"/>
        <v>4148</v>
      </c>
      <c r="N55" s="32">
        <f t="shared" si="8"/>
        <v>7.5000549999999997</v>
      </c>
      <c r="O55" s="15" t="str">
        <f t="shared" si="9"/>
        <v>SH-2210|קניון מלחה ירושלים</v>
      </c>
    </row>
    <row r="56" spans="1:15" ht="20.100000000000001" customHeight="1" x14ac:dyDescent="0.2">
      <c r="A56" s="19" t="s">
        <v>33</v>
      </c>
      <c r="B56" s="18" t="s">
        <v>110</v>
      </c>
      <c r="C56" s="19" t="s">
        <v>111</v>
      </c>
      <c r="D56" s="18" t="s">
        <v>112</v>
      </c>
      <c r="E56" s="18" t="s">
        <v>36</v>
      </c>
      <c r="F56" s="20">
        <v>14</v>
      </c>
      <c r="G56" s="20">
        <v>72</v>
      </c>
      <c r="H56" s="21">
        <f t="shared" si="5"/>
        <v>0.8</v>
      </c>
      <c r="I56" s="19" t="str">
        <f>IF(H56&lt;1,"אזל",IF(H56&lt;2,"קריטי",IF(H56&lt;'הנחות ופרמטרים'!$B$10,"נמוך",IF(H56&lt;=12,"תקין","עודף"))))</f>
        <v>אזל</v>
      </c>
      <c r="J56" s="33">
        <v>249</v>
      </c>
      <c r="K56" s="33">
        <v>96.5</v>
      </c>
      <c r="L56" s="34">
        <f t="shared" si="6"/>
        <v>17928</v>
      </c>
      <c r="M56" s="34">
        <f t="shared" si="7"/>
        <v>1351</v>
      </c>
      <c r="N56" s="32">
        <f t="shared" si="8"/>
        <v>0.80005599999999999</v>
      </c>
      <c r="O56" s="15" t="str">
        <f t="shared" si="9"/>
        <v>JN-3305|קניון מלחה ירושלים</v>
      </c>
    </row>
    <row r="57" spans="1:15" ht="20.100000000000001" customHeight="1" x14ac:dyDescent="0.2">
      <c r="A57" s="15" t="s">
        <v>35</v>
      </c>
      <c r="B57" s="14" t="s">
        <v>113</v>
      </c>
      <c r="C57" s="15" t="s">
        <v>114</v>
      </c>
      <c r="D57" s="14" t="s">
        <v>112</v>
      </c>
      <c r="E57" s="14" t="s">
        <v>36</v>
      </c>
      <c r="F57" s="16">
        <v>242</v>
      </c>
      <c r="G57" s="16">
        <v>50</v>
      </c>
      <c r="H57" s="17">
        <f t="shared" si="5"/>
        <v>21</v>
      </c>
      <c r="I57" s="15" t="str">
        <f>IF(H57&lt;1,"אזל",IF(H57&lt;2,"קריטי",IF(H57&lt;'הנחות ופרמטרים'!$B$10,"נמוך",IF(H57&lt;=12,"תקין","עודף"))))</f>
        <v>עודף</v>
      </c>
      <c r="J57" s="30">
        <v>249</v>
      </c>
      <c r="K57" s="30">
        <v>96.5</v>
      </c>
      <c r="L57" s="31">
        <f t="shared" si="6"/>
        <v>12450</v>
      </c>
      <c r="M57" s="31">
        <f t="shared" si="7"/>
        <v>23353</v>
      </c>
      <c r="N57" s="32">
        <f t="shared" si="8"/>
        <v>21.000057000000002</v>
      </c>
      <c r="O57" s="15" t="str">
        <f t="shared" si="9"/>
        <v>JN-3307|קניון מלחה ירושלים</v>
      </c>
    </row>
    <row r="58" spans="1:15" ht="20.100000000000001" customHeight="1" x14ac:dyDescent="0.2">
      <c r="A58" s="19" t="s">
        <v>38</v>
      </c>
      <c r="B58" s="18" t="s">
        <v>115</v>
      </c>
      <c r="C58" s="19" t="s">
        <v>116</v>
      </c>
      <c r="D58" s="18" t="s">
        <v>117</v>
      </c>
      <c r="E58" s="18" t="s">
        <v>36</v>
      </c>
      <c r="F58" s="20">
        <v>37</v>
      </c>
      <c r="G58" s="20">
        <v>55</v>
      </c>
      <c r="H58" s="21">
        <f t="shared" si="5"/>
        <v>2.9</v>
      </c>
      <c r="I58" s="19" t="str">
        <f>IF(H58&lt;1,"אזל",IF(H58&lt;2,"קריטי",IF(H58&lt;'הנחות ופרמטרים'!$B$10,"נמוך",IF(H58&lt;=12,"תקין","עודף"))))</f>
        <v>נמוך</v>
      </c>
      <c r="J58" s="33">
        <v>279</v>
      </c>
      <c r="K58" s="33">
        <v>112</v>
      </c>
      <c r="L58" s="34">
        <f t="shared" si="6"/>
        <v>15345</v>
      </c>
      <c r="M58" s="34">
        <f t="shared" si="7"/>
        <v>4144</v>
      </c>
      <c r="N58" s="32">
        <f t="shared" si="8"/>
        <v>2.900058</v>
      </c>
      <c r="O58" s="15" t="str">
        <f t="shared" si="9"/>
        <v>DR-4102|קניון מלחה ירושלים</v>
      </c>
    </row>
    <row r="59" spans="1:15" ht="20.100000000000001" customHeight="1" x14ac:dyDescent="0.2">
      <c r="A59" s="15" t="s">
        <v>40</v>
      </c>
      <c r="B59" s="14" t="s">
        <v>118</v>
      </c>
      <c r="C59" s="15" t="s">
        <v>106</v>
      </c>
      <c r="D59" s="14" t="s">
        <v>117</v>
      </c>
      <c r="E59" s="14" t="s">
        <v>36</v>
      </c>
      <c r="F59" s="16">
        <v>86</v>
      </c>
      <c r="G59" s="16">
        <v>18</v>
      </c>
      <c r="H59" s="17">
        <f t="shared" si="5"/>
        <v>20.7</v>
      </c>
      <c r="I59" s="15" t="str">
        <f>IF(H59&lt;1,"אזל",IF(H59&lt;2,"קריטי",IF(H59&lt;'הנחות ופרמטרים'!$B$10,"נמוך",IF(H59&lt;=12,"תקין","עודף"))))</f>
        <v>עודף</v>
      </c>
      <c r="J59" s="30">
        <v>590</v>
      </c>
      <c r="K59" s="30">
        <v>245</v>
      </c>
      <c r="L59" s="31">
        <f t="shared" si="6"/>
        <v>10620</v>
      </c>
      <c r="M59" s="31">
        <f t="shared" si="7"/>
        <v>21070</v>
      </c>
      <c r="N59" s="32">
        <f t="shared" si="8"/>
        <v>20.700059</v>
      </c>
      <c r="O59" s="15" t="str">
        <f t="shared" si="9"/>
        <v>DR-4108|קניון מלחה ירושלים</v>
      </c>
    </row>
    <row r="60" spans="1:15" ht="20.100000000000001" customHeight="1" x14ac:dyDescent="0.2">
      <c r="A60" s="19" t="s">
        <v>42</v>
      </c>
      <c r="B60" s="18" t="s">
        <v>119</v>
      </c>
      <c r="C60" s="19" t="s">
        <v>120</v>
      </c>
      <c r="D60" s="18" t="s">
        <v>121</v>
      </c>
      <c r="E60" s="18" t="s">
        <v>36</v>
      </c>
      <c r="F60" s="20">
        <v>17</v>
      </c>
      <c r="G60" s="20">
        <v>19</v>
      </c>
      <c r="H60" s="21">
        <f t="shared" si="5"/>
        <v>3.9</v>
      </c>
      <c r="I60" s="19" t="str">
        <f>IF(H60&lt;1,"אזל",IF(H60&lt;2,"קריטי",IF(H60&lt;'הנחות ופרמטרים'!$B$10,"נמוך",IF(H60&lt;=12,"תקין","עודף"))))</f>
        <v>נמוך</v>
      </c>
      <c r="J60" s="33">
        <v>449</v>
      </c>
      <c r="K60" s="33">
        <v>189</v>
      </c>
      <c r="L60" s="34">
        <f t="shared" si="6"/>
        <v>8531</v>
      </c>
      <c r="M60" s="34">
        <f t="shared" si="7"/>
        <v>3213</v>
      </c>
      <c r="N60" s="32">
        <f t="shared" si="8"/>
        <v>3.9000599999999999</v>
      </c>
      <c r="O60" s="15" t="str">
        <f t="shared" si="9"/>
        <v>JK-5501|קניון מלחה ירושלים</v>
      </c>
    </row>
    <row r="61" spans="1:15" ht="20.100000000000001" customHeight="1" x14ac:dyDescent="0.2">
      <c r="A61" s="15" t="s">
        <v>44</v>
      </c>
      <c r="B61" s="14" t="s">
        <v>122</v>
      </c>
      <c r="C61" s="15" t="s">
        <v>106</v>
      </c>
      <c r="D61" s="14" t="s">
        <v>121</v>
      </c>
      <c r="E61" s="14" t="s">
        <v>36</v>
      </c>
      <c r="F61" s="16">
        <v>28</v>
      </c>
      <c r="G61" s="16">
        <v>44</v>
      </c>
      <c r="H61" s="17">
        <f t="shared" si="5"/>
        <v>2.8</v>
      </c>
      <c r="I61" s="15" t="str">
        <f>IF(H61&lt;1,"אזל",IF(H61&lt;2,"קריטי",IF(H61&lt;'הנחות ופרמטרים'!$B$10,"נמוך",IF(H61&lt;=12,"תקין","עודף"))))</f>
        <v>נמוך</v>
      </c>
      <c r="J61" s="30">
        <v>379</v>
      </c>
      <c r="K61" s="30">
        <v>154</v>
      </c>
      <c r="L61" s="31">
        <f t="shared" si="6"/>
        <v>16676</v>
      </c>
      <c r="M61" s="31">
        <f t="shared" si="7"/>
        <v>4312</v>
      </c>
      <c r="N61" s="32">
        <f t="shared" si="8"/>
        <v>2.8000609999999999</v>
      </c>
      <c r="O61" s="15" t="str">
        <f t="shared" si="9"/>
        <v>JK-5504|קניון מלחה ירושלים</v>
      </c>
    </row>
    <row r="62" spans="1:15" ht="20.100000000000001" customHeight="1" x14ac:dyDescent="0.2">
      <c r="A62" s="19" t="s">
        <v>46</v>
      </c>
      <c r="B62" s="18" t="s">
        <v>123</v>
      </c>
      <c r="C62" s="19" t="s">
        <v>124</v>
      </c>
      <c r="D62" s="18" t="s">
        <v>125</v>
      </c>
      <c r="E62" s="18" t="s">
        <v>36</v>
      </c>
      <c r="F62" s="20">
        <v>109</v>
      </c>
      <c r="G62" s="20">
        <v>41</v>
      </c>
      <c r="H62" s="21">
        <f t="shared" si="5"/>
        <v>11.5</v>
      </c>
      <c r="I62" s="19" t="str">
        <f>IF(H62&lt;1,"אזל",IF(H62&lt;2,"קריטי",IF(H62&lt;'הנחות ופרמטרים'!$B$10,"נמוך",IF(H62&lt;=12,"תקין","עודף"))))</f>
        <v>תקין</v>
      </c>
      <c r="J62" s="33">
        <v>119</v>
      </c>
      <c r="K62" s="33">
        <v>42</v>
      </c>
      <c r="L62" s="34">
        <f t="shared" si="6"/>
        <v>4879</v>
      </c>
      <c r="M62" s="34">
        <f t="shared" si="7"/>
        <v>4578</v>
      </c>
      <c r="N62" s="32">
        <f t="shared" si="8"/>
        <v>11.500062</v>
      </c>
      <c r="O62" s="15" t="str">
        <f t="shared" si="9"/>
        <v>AC-6001|קניון מלחה ירושלים</v>
      </c>
    </row>
    <row r="63" spans="1:15" ht="20.100000000000001" customHeight="1" x14ac:dyDescent="0.2">
      <c r="A63" s="15" t="s">
        <v>48</v>
      </c>
      <c r="B63" s="14" t="s">
        <v>126</v>
      </c>
      <c r="C63" s="15" t="s">
        <v>124</v>
      </c>
      <c r="D63" s="14" t="s">
        <v>125</v>
      </c>
      <c r="E63" s="14" t="s">
        <v>36</v>
      </c>
      <c r="F63" s="16">
        <v>49</v>
      </c>
      <c r="G63" s="16">
        <v>13</v>
      </c>
      <c r="H63" s="17">
        <f t="shared" si="5"/>
        <v>16.3</v>
      </c>
      <c r="I63" s="15" t="str">
        <f>IF(H63&lt;1,"אזל",IF(H63&lt;2,"קריטי",IF(H63&lt;'הנחות ופרמטרים'!$B$10,"נמוך",IF(H63&lt;=12,"תקין","עודף"))))</f>
        <v>עודף</v>
      </c>
      <c r="J63" s="30">
        <v>99</v>
      </c>
      <c r="K63" s="30">
        <v>38.5</v>
      </c>
      <c r="L63" s="31">
        <f t="shared" si="6"/>
        <v>1287</v>
      </c>
      <c r="M63" s="31">
        <f t="shared" si="7"/>
        <v>1886.5</v>
      </c>
      <c r="N63" s="32">
        <f t="shared" si="8"/>
        <v>16.300063000000002</v>
      </c>
      <c r="O63" s="15" t="str">
        <f t="shared" si="9"/>
        <v>AC-6014|קניון מלחה ירושלים</v>
      </c>
    </row>
    <row r="64" spans="1:15" ht="20.100000000000001" customHeight="1" x14ac:dyDescent="0.2">
      <c r="A64" s="19" t="s">
        <v>50</v>
      </c>
      <c r="B64" s="18" t="s">
        <v>127</v>
      </c>
      <c r="C64" s="19" t="s">
        <v>116</v>
      </c>
      <c r="D64" s="18" t="s">
        <v>128</v>
      </c>
      <c r="E64" s="18" t="s">
        <v>36</v>
      </c>
      <c r="F64" s="20">
        <v>18</v>
      </c>
      <c r="G64" s="20">
        <v>35</v>
      </c>
      <c r="H64" s="21">
        <f t="shared" si="5"/>
        <v>2.2000000000000002</v>
      </c>
      <c r="I64" s="19" t="str">
        <f>IF(H64&lt;1,"אזל",IF(H64&lt;2,"קריטי",IF(H64&lt;'הנחות ופרמטרים'!$B$10,"נמוך",IF(H64&lt;=12,"תקין","עודף"))))</f>
        <v>נמוך</v>
      </c>
      <c r="J64" s="33">
        <v>199</v>
      </c>
      <c r="K64" s="33">
        <v>78</v>
      </c>
      <c r="L64" s="34">
        <f t="shared" si="6"/>
        <v>6965</v>
      </c>
      <c r="M64" s="34">
        <f t="shared" si="7"/>
        <v>1404</v>
      </c>
      <c r="N64" s="32">
        <f t="shared" si="8"/>
        <v>2.2000640000000002</v>
      </c>
      <c r="O64" s="15" t="str">
        <f t="shared" si="9"/>
        <v>SK-7203|קניון מלחה ירושלים</v>
      </c>
    </row>
    <row r="65" spans="1:15" ht="20.100000000000001" customHeight="1" x14ac:dyDescent="0.2">
      <c r="A65" s="15" t="s">
        <v>25</v>
      </c>
      <c r="B65" s="14" t="s">
        <v>105</v>
      </c>
      <c r="C65" s="15" t="s">
        <v>106</v>
      </c>
      <c r="D65" s="14" t="s">
        <v>107</v>
      </c>
      <c r="E65" s="14" t="s">
        <v>39</v>
      </c>
      <c r="F65" s="16">
        <v>181</v>
      </c>
      <c r="G65" s="16">
        <v>145</v>
      </c>
      <c r="H65" s="17">
        <f t="shared" si="5"/>
        <v>5.4</v>
      </c>
      <c r="I65" s="15" t="str">
        <f>IF(H65&lt;1,"אזל",IF(H65&lt;2,"קריטי",IF(H65&lt;'הנחות ופרמטרים'!$B$10,"נמוך",IF(H65&lt;=12,"תקין","עודף"))))</f>
        <v>תקין</v>
      </c>
      <c r="J65" s="30">
        <v>79.900000000000006</v>
      </c>
      <c r="K65" s="30">
        <v>24.9</v>
      </c>
      <c r="L65" s="31">
        <f t="shared" si="6"/>
        <v>11585.5</v>
      </c>
      <c r="M65" s="31">
        <f t="shared" si="7"/>
        <v>4506.8999999999996</v>
      </c>
      <c r="N65" s="32">
        <f t="shared" si="8"/>
        <v>5.4000650000000006</v>
      </c>
      <c r="O65" s="15" t="str">
        <f t="shared" si="9"/>
        <v>TS-1041|מחסן אונליין</v>
      </c>
    </row>
    <row r="66" spans="1:15" ht="20.100000000000001" customHeight="1" x14ac:dyDescent="0.2">
      <c r="A66" s="19" t="s">
        <v>28</v>
      </c>
      <c r="B66" s="18" t="s">
        <v>105</v>
      </c>
      <c r="C66" s="19" t="s">
        <v>108</v>
      </c>
      <c r="D66" s="18" t="s">
        <v>107</v>
      </c>
      <c r="E66" s="18" t="s">
        <v>39</v>
      </c>
      <c r="F66" s="20">
        <v>57</v>
      </c>
      <c r="G66" s="20">
        <v>143</v>
      </c>
      <c r="H66" s="21">
        <f t="shared" si="5"/>
        <v>1.7</v>
      </c>
      <c r="I66" s="19" t="str">
        <f>IF(H66&lt;1,"אזל",IF(H66&lt;2,"קריטי",IF(H66&lt;'הנחות ופרמטרים'!$B$10,"נמוך",IF(H66&lt;=12,"תקין","עודף"))))</f>
        <v>קריטי</v>
      </c>
      <c r="J66" s="33">
        <v>79.900000000000006</v>
      </c>
      <c r="K66" s="33">
        <v>24.9</v>
      </c>
      <c r="L66" s="34">
        <f t="shared" si="6"/>
        <v>11425.7</v>
      </c>
      <c r="M66" s="34">
        <f t="shared" si="7"/>
        <v>1419.3</v>
      </c>
      <c r="N66" s="32">
        <f t="shared" si="8"/>
        <v>1.7000659999999999</v>
      </c>
      <c r="O66" s="15" t="str">
        <f t="shared" si="9"/>
        <v>TS-1042|מחסן אונליין</v>
      </c>
    </row>
    <row r="67" spans="1:15" ht="20.100000000000001" customHeight="1" x14ac:dyDescent="0.2">
      <c r="A67" s="15" t="s">
        <v>30</v>
      </c>
      <c r="B67" s="14" t="s">
        <v>109</v>
      </c>
      <c r="C67" s="15" t="s">
        <v>108</v>
      </c>
      <c r="D67" s="14" t="s">
        <v>107</v>
      </c>
      <c r="E67" s="14" t="s">
        <v>39</v>
      </c>
      <c r="F67" s="16">
        <v>52</v>
      </c>
      <c r="G67" s="16">
        <v>36</v>
      </c>
      <c r="H67" s="17">
        <f t="shared" si="5"/>
        <v>6.3</v>
      </c>
      <c r="I67" s="15" t="str">
        <f>IF(H67&lt;1,"אזל",IF(H67&lt;2,"קריטי",IF(H67&lt;'הנחות ופרמטרים'!$B$10,"נמוך",IF(H67&lt;=12,"תקין","עודף"))))</f>
        <v>תקין</v>
      </c>
      <c r="J67" s="30">
        <v>189</v>
      </c>
      <c r="K67" s="30">
        <v>68</v>
      </c>
      <c r="L67" s="31">
        <f t="shared" si="6"/>
        <v>6804</v>
      </c>
      <c r="M67" s="31">
        <f t="shared" si="7"/>
        <v>3536</v>
      </c>
      <c r="N67" s="32">
        <f t="shared" si="8"/>
        <v>6.3000669999999994</v>
      </c>
      <c r="O67" s="15" t="str">
        <f t="shared" si="9"/>
        <v>SH-2210|מחסן אונליין</v>
      </c>
    </row>
    <row r="68" spans="1:15" ht="20.100000000000001" customHeight="1" x14ac:dyDescent="0.2">
      <c r="A68" s="19" t="s">
        <v>33</v>
      </c>
      <c r="B68" s="18" t="s">
        <v>110</v>
      </c>
      <c r="C68" s="19" t="s">
        <v>111</v>
      </c>
      <c r="D68" s="18" t="s">
        <v>112</v>
      </c>
      <c r="E68" s="18" t="s">
        <v>39</v>
      </c>
      <c r="F68" s="20">
        <v>11</v>
      </c>
      <c r="G68" s="20">
        <v>68</v>
      </c>
      <c r="H68" s="21">
        <f t="shared" si="5"/>
        <v>0.7</v>
      </c>
      <c r="I68" s="19" t="str">
        <f>IF(H68&lt;1,"אזל",IF(H68&lt;2,"קריטי",IF(H68&lt;'הנחות ופרמטרים'!$B$10,"נמוך",IF(H68&lt;=12,"תקין","עודף"))))</f>
        <v>אזל</v>
      </c>
      <c r="J68" s="33">
        <v>249</v>
      </c>
      <c r="K68" s="33">
        <v>96.5</v>
      </c>
      <c r="L68" s="34">
        <f t="shared" si="6"/>
        <v>16932</v>
      </c>
      <c r="M68" s="34">
        <f t="shared" si="7"/>
        <v>1061.5</v>
      </c>
      <c r="N68" s="32">
        <f t="shared" si="8"/>
        <v>0.70006799999999991</v>
      </c>
      <c r="O68" s="15" t="str">
        <f t="shared" si="9"/>
        <v>JN-3305|מחסן אונליין</v>
      </c>
    </row>
    <row r="69" spans="1:15" ht="20.100000000000001" customHeight="1" x14ac:dyDescent="0.2">
      <c r="A69" s="15" t="s">
        <v>35</v>
      </c>
      <c r="B69" s="14" t="s">
        <v>113</v>
      </c>
      <c r="C69" s="15" t="s">
        <v>114</v>
      </c>
      <c r="D69" s="14" t="s">
        <v>112</v>
      </c>
      <c r="E69" s="14" t="s">
        <v>39</v>
      </c>
      <c r="F69" s="16">
        <v>217</v>
      </c>
      <c r="G69" s="16">
        <v>49</v>
      </c>
      <c r="H69" s="17">
        <f t="shared" ref="H69:H100" si="10">ROUND(F69/(G69/4.33),1)</f>
        <v>19.2</v>
      </c>
      <c r="I69" s="15" t="str">
        <f>IF(H69&lt;1,"אזל",IF(H69&lt;2,"קריטי",IF(H69&lt;'הנחות ופרמטרים'!$B$10,"נמוך",IF(H69&lt;=12,"תקין","עודף"))))</f>
        <v>עודף</v>
      </c>
      <c r="J69" s="30">
        <v>249</v>
      </c>
      <c r="K69" s="30">
        <v>96.5</v>
      </c>
      <c r="L69" s="31">
        <f t="shared" ref="L69:L76" si="11">G69*J69</f>
        <v>12201</v>
      </c>
      <c r="M69" s="31">
        <f t="shared" ref="M69:M76" si="12">F69*K69</f>
        <v>20940.5</v>
      </c>
      <c r="N69" s="32">
        <f t="shared" ref="N69:N76" si="13">H69+ROW()/1000000</f>
        <v>19.200068999999999</v>
      </c>
      <c r="O69" s="15" t="str">
        <f t="shared" ref="O69:O76" si="14">A69&amp;"|"&amp;E69</f>
        <v>JN-3307|מחסן אונליין</v>
      </c>
    </row>
    <row r="70" spans="1:15" ht="20.100000000000001" customHeight="1" x14ac:dyDescent="0.2">
      <c r="A70" s="19" t="s">
        <v>38</v>
      </c>
      <c r="B70" s="18" t="s">
        <v>115</v>
      </c>
      <c r="C70" s="19" t="s">
        <v>116</v>
      </c>
      <c r="D70" s="18" t="s">
        <v>117</v>
      </c>
      <c r="E70" s="18" t="s">
        <v>39</v>
      </c>
      <c r="F70" s="20">
        <v>15</v>
      </c>
      <c r="G70" s="20">
        <v>26</v>
      </c>
      <c r="H70" s="21">
        <f t="shared" si="10"/>
        <v>2.5</v>
      </c>
      <c r="I70" s="19" t="str">
        <f>IF(H70&lt;1,"אזל",IF(H70&lt;2,"קריטי",IF(H70&lt;'הנחות ופרמטרים'!$B$10,"נמוך",IF(H70&lt;=12,"תקין","עודף"))))</f>
        <v>נמוך</v>
      </c>
      <c r="J70" s="33">
        <v>279</v>
      </c>
      <c r="K70" s="33">
        <v>112</v>
      </c>
      <c r="L70" s="34">
        <f t="shared" si="11"/>
        <v>7254</v>
      </c>
      <c r="M70" s="34">
        <f t="shared" si="12"/>
        <v>1680</v>
      </c>
      <c r="N70" s="32">
        <f t="shared" si="13"/>
        <v>2.50007</v>
      </c>
      <c r="O70" s="15" t="str">
        <f t="shared" si="14"/>
        <v>DR-4102|מחסן אונליין</v>
      </c>
    </row>
    <row r="71" spans="1:15" ht="20.100000000000001" customHeight="1" x14ac:dyDescent="0.2">
      <c r="A71" s="15" t="s">
        <v>40</v>
      </c>
      <c r="B71" s="14" t="s">
        <v>118</v>
      </c>
      <c r="C71" s="15" t="s">
        <v>106</v>
      </c>
      <c r="D71" s="14" t="s">
        <v>117</v>
      </c>
      <c r="E71" s="14" t="s">
        <v>39</v>
      </c>
      <c r="F71" s="16">
        <v>78</v>
      </c>
      <c r="G71" s="16">
        <v>18</v>
      </c>
      <c r="H71" s="17">
        <f t="shared" si="10"/>
        <v>18.8</v>
      </c>
      <c r="I71" s="15" t="str">
        <f>IF(H71&lt;1,"אזל",IF(H71&lt;2,"קריטי",IF(H71&lt;'הנחות ופרמטרים'!$B$10,"נמוך",IF(H71&lt;=12,"תקין","עודף"))))</f>
        <v>עודף</v>
      </c>
      <c r="J71" s="30">
        <v>590</v>
      </c>
      <c r="K71" s="30">
        <v>245</v>
      </c>
      <c r="L71" s="31">
        <f t="shared" si="11"/>
        <v>10620</v>
      </c>
      <c r="M71" s="31">
        <f t="shared" si="12"/>
        <v>19110</v>
      </c>
      <c r="N71" s="32">
        <f t="shared" si="13"/>
        <v>18.800070999999999</v>
      </c>
      <c r="O71" s="15" t="str">
        <f t="shared" si="14"/>
        <v>DR-4108|מחסן אונליין</v>
      </c>
    </row>
    <row r="72" spans="1:15" ht="20.100000000000001" customHeight="1" x14ac:dyDescent="0.2">
      <c r="A72" s="19" t="s">
        <v>42</v>
      </c>
      <c r="B72" s="18" t="s">
        <v>119</v>
      </c>
      <c r="C72" s="19" t="s">
        <v>120</v>
      </c>
      <c r="D72" s="18" t="s">
        <v>121</v>
      </c>
      <c r="E72" s="18" t="s">
        <v>39</v>
      </c>
      <c r="F72" s="20">
        <v>33</v>
      </c>
      <c r="G72" s="20">
        <v>19</v>
      </c>
      <c r="H72" s="21">
        <f t="shared" si="10"/>
        <v>7.5</v>
      </c>
      <c r="I72" s="19" t="str">
        <f>IF(H72&lt;1,"אזל",IF(H72&lt;2,"קריטי",IF(H72&lt;'הנחות ופרמטרים'!$B$10,"נמוך",IF(H72&lt;=12,"תקין","עודף"))))</f>
        <v>תקין</v>
      </c>
      <c r="J72" s="33">
        <v>449</v>
      </c>
      <c r="K72" s="33">
        <v>189</v>
      </c>
      <c r="L72" s="34">
        <f t="shared" si="11"/>
        <v>8531</v>
      </c>
      <c r="M72" s="34">
        <f t="shared" si="12"/>
        <v>6237</v>
      </c>
      <c r="N72" s="32">
        <f t="shared" si="13"/>
        <v>7.5000720000000003</v>
      </c>
      <c r="O72" s="15" t="str">
        <f t="shared" si="14"/>
        <v>JK-5501|מחסן אונליין</v>
      </c>
    </row>
    <row r="73" spans="1:15" ht="20.100000000000001" customHeight="1" x14ac:dyDescent="0.2">
      <c r="A73" s="15" t="s">
        <v>44</v>
      </c>
      <c r="B73" s="14" t="s">
        <v>122</v>
      </c>
      <c r="C73" s="15" t="s">
        <v>106</v>
      </c>
      <c r="D73" s="14" t="s">
        <v>121</v>
      </c>
      <c r="E73" s="14" t="s">
        <v>39</v>
      </c>
      <c r="F73" s="16">
        <v>11</v>
      </c>
      <c r="G73" s="16">
        <v>20</v>
      </c>
      <c r="H73" s="17">
        <f t="shared" si="10"/>
        <v>2.4</v>
      </c>
      <c r="I73" s="15" t="str">
        <f>IF(H73&lt;1,"אזל",IF(H73&lt;2,"קריטי",IF(H73&lt;'הנחות ופרמטרים'!$B$10,"נמוך",IF(H73&lt;=12,"תקין","עודף"))))</f>
        <v>נמוך</v>
      </c>
      <c r="J73" s="30">
        <v>379</v>
      </c>
      <c r="K73" s="30">
        <v>154</v>
      </c>
      <c r="L73" s="31">
        <f t="shared" si="11"/>
        <v>7580</v>
      </c>
      <c r="M73" s="31">
        <f t="shared" si="12"/>
        <v>1694</v>
      </c>
      <c r="N73" s="32">
        <f t="shared" si="13"/>
        <v>2.4000729999999999</v>
      </c>
      <c r="O73" s="15" t="str">
        <f t="shared" si="14"/>
        <v>JK-5504|מחסן אונליין</v>
      </c>
    </row>
    <row r="74" spans="1:15" ht="20.100000000000001" customHeight="1" x14ac:dyDescent="0.2">
      <c r="A74" s="19" t="s">
        <v>46</v>
      </c>
      <c r="B74" s="18" t="s">
        <v>123</v>
      </c>
      <c r="C74" s="19" t="s">
        <v>124</v>
      </c>
      <c r="D74" s="18" t="s">
        <v>125</v>
      </c>
      <c r="E74" s="18" t="s">
        <v>39</v>
      </c>
      <c r="F74" s="20">
        <v>94</v>
      </c>
      <c r="G74" s="20">
        <v>39</v>
      </c>
      <c r="H74" s="21">
        <f t="shared" si="10"/>
        <v>10.4</v>
      </c>
      <c r="I74" s="19" t="str">
        <f>IF(H74&lt;1,"אזל",IF(H74&lt;2,"קריטי",IF(H74&lt;'הנחות ופרמטרים'!$B$10,"נמוך",IF(H74&lt;=12,"תקין","עודף"))))</f>
        <v>תקין</v>
      </c>
      <c r="J74" s="33">
        <v>119</v>
      </c>
      <c r="K74" s="33">
        <v>42</v>
      </c>
      <c r="L74" s="34">
        <f t="shared" si="11"/>
        <v>4641</v>
      </c>
      <c r="M74" s="34">
        <f t="shared" si="12"/>
        <v>3948</v>
      </c>
      <c r="N74" s="32">
        <f t="shared" si="13"/>
        <v>10.400074</v>
      </c>
      <c r="O74" s="15" t="str">
        <f t="shared" si="14"/>
        <v>AC-6001|מחסן אונליין</v>
      </c>
    </row>
    <row r="75" spans="1:15" ht="20.100000000000001" customHeight="1" x14ac:dyDescent="0.2">
      <c r="A75" s="15" t="s">
        <v>48</v>
      </c>
      <c r="B75" s="14" t="s">
        <v>126</v>
      </c>
      <c r="C75" s="15" t="s">
        <v>124</v>
      </c>
      <c r="D75" s="14" t="s">
        <v>125</v>
      </c>
      <c r="E75" s="14" t="s">
        <v>39</v>
      </c>
      <c r="F75" s="16">
        <v>41</v>
      </c>
      <c r="G75" s="16">
        <v>13</v>
      </c>
      <c r="H75" s="17">
        <f t="shared" si="10"/>
        <v>13.7</v>
      </c>
      <c r="I75" s="15" t="str">
        <f>IF(H75&lt;1,"אזל",IF(H75&lt;2,"קריטי",IF(H75&lt;'הנחות ופרמטרים'!$B$10,"נמוך",IF(H75&lt;=12,"תקין","עודף"))))</f>
        <v>עודף</v>
      </c>
      <c r="J75" s="30">
        <v>99</v>
      </c>
      <c r="K75" s="30">
        <v>38.5</v>
      </c>
      <c r="L75" s="31">
        <f t="shared" si="11"/>
        <v>1287</v>
      </c>
      <c r="M75" s="31">
        <f t="shared" si="12"/>
        <v>1578.5</v>
      </c>
      <c r="N75" s="32">
        <f t="shared" si="13"/>
        <v>13.700075</v>
      </c>
      <c r="O75" s="15" t="str">
        <f t="shared" si="14"/>
        <v>AC-6014|מחסן אונליין</v>
      </c>
    </row>
    <row r="76" spans="1:15" ht="20.100000000000001" customHeight="1" x14ac:dyDescent="0.2">
      <c r="A76" s="19" t="s">
        <v>50</v>
      </c>
      <c r="B76" s="18" t="s">
        <v>127</v>
      </c>
      <c r="C76" s="19" t="s">
        <v>116</v>
      </c>
      <c r="D76" s="18" t="s">
        <v>128</v>
      </c>
      <c r="E76" s="18" t="s">
        <v>39</v>
      </c>
      <c r="F76" s="20">
        <v>15</v>
      </c>
      <c r="G76" s="20">
        <v>33</v>
      </c>
      <c r="H76" s="21">
        <f t="shared" si="10"/>
        <v>2</v>
      </c>
      <c r="I76" s="19" t="str">
        <f>IF(H76&lt;1,"אזל",IF(H76&lt;2,"קריטי",IF(H76&lt;'הנחות ופרמטרים'!$B$10,"נמוך",IF(H76&lt;=12,"תקין","עודף"))))</f>
        <v>נמוך</v>
      </c>
      <c r="J76" s="33">
        <v>199</v>
      </c>
      <c r="K76" s="33">
        <v>78</v>
      </c>
      <c r="L76" s="34">
        <f t="shared" si="11"/>
        <v>6567</v>
      </c>
      <c r="M76" s="34">
        <f t="shared" si="12"/>
        <v>1170</v>
      </c>
      <c r="N76" s="32">
        <f t="shared" si="13"/>
        <v>2.000076</v>
      </c>
      <c r="O76" s="15" t="str">
        <f t="shared" si="14"/>
        <v>SK-7203|מחסן אונליין</v>
      </c>
    </row>
  </sheetData>
  <conditionalFormatting sqref="I5:I76">
    <cfRule type="cellIs" dxfId="26" priority="1" operator="equal">
      <formula>"אזל"</formula>
    </cfRule>
    <cfRule type="cellIs" dxfId="25" priority="2" operator="equal">
      <formula>"קריטי"</formula>
    </cfRule>
    <cfRule type="cellIs" dxfId="24" priority="3" operator="equal">
      <formula>"נמוך"</formula>
    </cfRule>
    <cfRule type="cellIs" dxfId="23" priority="4" operator="equal">
      <formula>"תקין"</formula>
    </cfRule>
    <cfRule type="cellIs" dxfId="22" priority="5" operator="equal">
      <formula>"עודף"</formula>
    </cfRule>
  </conditionalFormatting>
  <pageMargins left="0.75" right="0.75" top="1" bottom="1" header="0.5" footer="0.5"/>
  <ignoredErrors>
    <ignoredError sqref="C5:C76" numberStoredAsText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3"/>
  <sheetViews>
    <sheetView showGridLines="0" rightToLeft="1" workbookViewId="0">
      <pane ySplit="4" topLeftCell="A5" activePane="bottomLeft" state="frozen"/>
      <selection pane="bottomLeft"/>
    </sheetView>
  </sheetViews>
  <sheetFormatPr defaultRowHeight="14.25" x14ac:dyDescent="0.2"/>
  <cols>
    <col min="1" max="1" width="24" customWidth="1"/>
    <col min="2" max="2" width="18" customWidth="1"/>
    <col min="3" max="3" width="16" customWidth="1"/>
    <col min="4" max="4" width="13" customWidth="1"/>
    <col min="5" max="5" width="14" customWidth="1"/>
    <col min="6" max="6" width="17" customWidth="1"/>
    <col min="7" max="7" width="15" customWidth="1"/>
    <col min="8" max="8" width="13" customWidth="1"/>
  </cols>
  <sheetData>
    <row r="1" spans="1:8" ht="30" customHeight="1" x14ac:dyDescent="0.2">
      <c r="A1" s="1" t="s">
        <v>129</v>
      </c>
    </row>
    <row r="2" spans="1:8" ht="15.95" customHeight="1" x14ac:dyDescent="0.2">
      <c r="A2" s="2" t="s">
        <v>130</v>
      </c>
    </row>
    <row r="4" spans="1:8" ht="48" customHeight="1" x14ac:dyDescent="0.2">
      <c r="A4" s="13" t="s">
        <v>17</v>
      </c>
      <c r="B4" s="13" t="s">
        <v>41</v>
      </c>
      <c r="C4" s="13" t="s">
        <v>43</v>
      </c>
      <c r="D4" s="13" t="s">
        <v>45</v>
      </c>
      <c r="E4" s="13" t="s">
        <v>47</v>
      </c>
      <c r="F4" s="13" t="s">
        <v>49</v>
      </c>
      <c r="G4" s="13" t="s">
        <v>131</v>
      </c>
      <c r="H4" s="13" t="s">
        <v>132</v>
      </c>
    </row>
    <row r="5" spans="1:8" ht="20.100000000000001" customHeight="1" x14ac:dyDescent="0.2">
      <c r="A5" s="14" t="s">
        <v>26</v>
      </c>
      <c r="B5" s="23">
        <f>SUMIF('מלאי לפי חנות'!$E$5:$E$76,$A5,'מלאי לפי חנות'!$L$5:$L$76)</f>
        <v>161310.39999999999</v>
      </c>
      <c r="C5" s="23">
        <f>SUMIF('מלאי לפי חנות'!$E$5:$E$76,$A5,'מלאי לפי חנות'!$M$5:$M$76)</f>
        <v>102277.2</v>
      </c>
      <c r="D5" s="16">
        <f>COUNTIFS('מלאי לפי חנות'!$E$5:$E$76,$A5,'מלאי לפי חנות'!$I$5:$I$76,"אזל")</f>
        <v>1</v>
      </c>
      <c r="E5" s="16">
        <f>COUNTIFS('מלאי לפי חנות'!$E$5:$E$76,$A5,'מלאי לפי חנות'!$I$5:$I$76,"קריטי")</f>
        <v>3</v>
      </c>
      <c r="F5" s="17">
        <f>ROUND(AVERAGEIF('מלאי לפי חנות'!$E$5:$E$76,$A5,'מלאי לפי חנות'!$H$5:$H$76),1)</f>
        <v>8.3000000000000007</v>
      </c>
      <c r="G5" s="35">
        <f t="shared" ref="G5:G10" si="0">IFERROR(ROUND(B5/C5,2),0)</f>
        <v>1.58</v>
      </c>
      <c r="H5" s="16">
        <f t="shared" ref="H5:H10" si="1">RANK(B5,$B$5:$B$10,0)</f>
        <v>2</v>
      </c>
    </row>
    <row r="6" spans="1:8" ht="20.100000000000001" customHeight="1" x14ac:dyDescent="0.2">
      <c r="A6" s="18" t="s">
        <v>29</v>
      </c>
      <c r="B6" s="24">
        <f>SUMIF('מלאי לפי חנות'!$E$5:$E$76,$A6,'מלאי לפי חנות'!$L$5:$L$76)</f>
        <v>134320.29999999999</v>
      </c>
      <c r="C6" s="24">
        <f>SUMIF('מלאי לפי חנות'!$E$5:$E$76,$A6,'מלאי לפי חנות'!$M$5:$M$76)</f>
        <v>81153.899999999994</v>
      </c>
      <c r="D6" s="20">
        <f>COUNTIFS('מלאי לפי חנות'!$E$5:$E$76,$A6,'מלאי לפי חנות'!$I$5:$I$76,"אזל")</f>
        <v>1</v>
      </c>
      <c r="E6" s="20">
        <f>COUNTIFS('מלאי לפי חנות'!$E$5:$E$76,$A6,'מלאי לפי חנות'!$I$5:$I$76,"קריטי")</f>
        <v>2</v>
      </c>
      <c r="F6" s="21">
        <f>ROUND(AVERAGEIF('מלאי לפי חנות'!$E$5:$E$76,$A6,'מלאי לפי חנות'!$H$5:$H$76),1)</f>
        <v>8</v>
      </c>
      <c r="G6" s="36">
        <f t="shared" si="0"/>
        <v>1.66</v>
      </c>
      <c r="H6" s="20">
        <f t="shared" si="1"/>
        <v>3</v>
      </c>
    </row>
    <row r="7" spans="1:8" ht="20.100000000000001" customHeight="1" x14ac:dyDescent="0.2">
      <c r="A7" s="14" t="s">
        <v>31</v>
      </c>
      <c r="B7" s="23">
        <f>SUMIF('מלאי לפי חנות'!$E$5:$E$76,$A7,'מלאי לפי חנות'!$L$5:$L$76)</f>
        <v>84459.199999999997</v>
      </c>
      <c r="C7" s="23">
        <f>SUMIF('מלאי לפי חנות'!$E$5:$E$76,$A7,'מלאי לפי חנות'!$M$5:$M$76)</f>
        <v>48586.1</v>
      </c>
      <c r="D7" s="16">
        <f>COUNTIFS('מלאי לפי חנות'!$E$5:$E$76,$A7,'מלאי לפי חנות'!$I$5:$I$76,"אזל")</f>
        <v>0</v>
      </c>
      <c r="E7" s="16">
        <f>COUNTIFS('מלאי לפי חנות'!$E$5:$E$76,$A7,'מלאי לפי חנות'!$I$5:$I$76,"קריטי")</f>
        <v>2</v>
      </c>
      <c r="F7" s="17">
        <f>ROUND(AVERAGEIF('מלאי לפי חנות'!$E$5:$E$76,$A7,'מלאי לפי חנות'!$H$5:$H$76),1)</f>
        <v>7.2</v>
      </c>
      <c r="G7" s="35">
        <f t="shared" si="0"/>
        <v>1.74</v>
      </c>
      <c r="H7" s="16">
        <f t="shared" si="1"/>
        <v>6</v>
      </c>
    </row>
    <row r="8" spans="1:8" ht="20.100000000000001" customHeight="1" x14ac:dyDescent="0.2">
      <c r="A8" s="18" t="s">
        <v>34</v>
      </c>
      <c r="B8" s="24">
        <f>SUMIF('מלאי לפי חנות'!$E$5:$E$76,$A8,'מלאי לפי חנות'!$L$5:$L$76)</f>
        <v>170720.9</v>
      </c>
      <c r="C8" s="24">
        <f>SUMIF('מלאי לפי חנות'!$E$5:$E$76,$A8,'מלאי לפי חנות'!$M$5:$M$76)</f>
        <v>97193.600000000006</v>
      </c>
      <c r="D8" s="20">
        <f>COUNTIFS('מלאי לפי חנות'!$E$5:$E$76,$A8,'מלאי לפי חנות'!$I$5:$I$76,"אזל")</f>
        <v>1</v>
      </c>
      <c r="E8" s="20">
        <f>COUNTIFS('מלאי לפי חנות'!$E$5:$E$76,$A8,'מלאי לפי חנות'!$I$5:$I$76,"קריטי")</f>
        <v>0</v>
      </c>
      <c r="F8" s="21">
        <f>ROUND(AVERAGEIF('מלאי לפי חנות'!$E$5:$E$76,$A8,'מלאי לפי חנות'!$H$5:$H$76),1)</f>
        <v>7.5</v>
      </c>
      <c r="G8" s="36">
        <f t="shared" si="0"/>
        <v>1.76</v>
      </c>
      <c r="H8" s="20">
        <f t="shared" si="1"/>
        <v>1</v>
      </c>
    </row>
    <row r="9" spans="1:8" ht="20.100000000000001" customHeight="1" x14ac:dyDescent="0.2">
      <c r="A9" s="14" t="s">
        <v>36</v>
      </c>
      <c r="B9" s="23">
        <f>SUMIF('מלאי לפי חנות'!$E$5:$E$76,$A9,'מלאי לפי חנות'!$L$5:$L$76)</f>
        <v>125345.9</v>
      </c>
      <c r="C9" s="23">
        <f>SUMIF('מלאי לפי חנות'!$E$5:$E$76,$A9,'מלאי לפי חנות'!$M$5:$M$76)</f>
        <v>76580.899999999994</v>
      </c>
      <c r="D9" s="16">
        <f>COUNTIFS('מלאי לפי חנות'!$E$5:$E$76,$A9,'מלאי לפי חנות'!$I$5:$I$76,"אזל")</f>
        <v>1</v>
      </c>
      <c r="E9" s="16">
        <f>COUNTIFS('מלאי לפי חנות'!$E$5:$E$76,$A9,'מלאי לפי חנות'!$I$5:$I$76,"קריטי")</f>
        <v>1</v>
      </c>
      <c r="F9" s="17">
        <f>ROUND(AVERAGEIF('מלאי לפי חנות'!$E$5:$E$76,$A9,'מלאי לפי חנות'!$H$5:$H$76),1)</f>
        <v>8.1</v>
      </c>
      <c r="G9" s="35">
        <f t="shared" si="0"/>
        <v>1.64</v>
      </c>
      <c r="H9" s="16">
        <f t="shared" si="1"/>
        <v>4</v>
      </c>
    </row>
    <row r="10" spans="1:8" ht="20.100000000000001" customHeight="1" x14ac:dyDescent="0.2">
      <c r="A10" s="18" t="s">
        <v>39</v>
      </c>
      <c r="B10" s="24">
        <f>SUMIF('מלאי לפי חנות'!$E$5:$E$76,$A10,'מלאי לפי חנות'!$L$5:$L$76)</f>
        <v>105428.2</v>
      </c>
      <c r="C10" s="24">
        <f>SUMIF('מלאי לפי חנות'!$E$5:$E$76,$A10,'מלאי לפי חנות'!$M$5:$M$76)</f>
        <v>66881.7</v>
      </c>
      <c r="D10" s="20">
        <f>COUNTIFS('מלאי לפי חנות'!$E$5:$E$76,$A10,'מלאי לפי חנות'!$I$5:$I$76,"אזל")</f>
        <v>1</v>
      </c>
      <c r="E10" s="20">
        <f>COUNTIFS('מלאי לפי חנות'!$E$5:$E$76,$A10,'מלאי לפי חנות'!$I$5:$I$76,"קריטי")</f>
        <v>1</v>
      </c>
      <c r="F10" s="21">
        <f>ROUND(AVERAGEIF('מלאי לפי חנות'!$E$5:$E$76,$A10,'מלאי לפי חנות'!$H$5:$H$76),1)</f>
        <v>7.6</v>
      </c>
      <c r="G10" s="36">
        <f t="shared" si="0"/>
        <v>1.58</v>
      </c>
      <c r="H10" s="20">
        <f t="shared" si="1"/>
        <v>5</v>
      </c>
    </row>
    <row r="11" spans="1:8" ht="21.95" customHeight="1" x14ac:dyDescent="0.2">
      <c r="A11" s="37" t="s">
        <v>133</v>
      </c>
      <c r="B11" s="38">
        <f>SUM(B5:B10)</f>
        <v>781584.89999999991</v>
      </c>
      <c r="C11" s="38">
        <f>SUM(C5:C10)</f>
        <v>472673.39999999997</v>
      </c>
      <c r="D11" s="39">
        <f>SUM(D5:D10)</f>
        <v>5</v>
      </c>
      <c r="E11" s="39">
        <f>SUM(E5:E10)</f>
        <v>9</v>
      </c>
      <c r="F11" s="37"/>
      <c r="G11" s="37"/>
      <c r="H11" s="37"/>
    </row>
    <row r="13" spans="1:8" x14ac:dyDescent="0.2">
      <c r="A13" s="26" t="s">
        <v>134</v>
      </c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1"/>
  <sheetViews>
    <sheetView showGridLines="0" rightToLeft="1" workbookViewId="0">
      <pane ySplit="4" topLeftCell="A5" activePane="bottomLeft" state="frozen"/>
      <selection pane="bottomLeft"/>
    </sheetView>
  </sheetViews>
  <sheetFormatPr defaultRowHeight="14.25" x14ac:dyDescent="0.2"/>
  <cols>
    <col min="1" max="1" width="24" customWidth="1"/>
    <col min="2" max="13" width="13" customWidth="1"/>
    <col min="14" max="14" width="16" customWidth="1"/>
  </cols>
  <sheetData>
    <row r="1" spans="1:14" ht="30" customHeight="1" x14ac:dyDescent="0.2">
      <c r="A1" s="1" t="s">
        <v>135</v>
      </c>
    </row>
    <row r="2" spans="1:14" ht="15.95" customHeight="1" x14ac:dyDescent="0.2">
      <c r="A2" s="2" t="s">
        <v>136</v>
      </c>
    </row>
    <row r="4" spans="1:14" ht="33.950000000000003" customHeight="1" x14ac:dyDescent="0.2">
      <c r="A4" s="13" t="s">
        <v>17</v>
      </c>
      <c r="B4" s="13" t="s">
        <v>84</v>
      </c>
      <c r="C4" s="13" t="s">
        <v>85</v>
      </c>
      <c r="D4" s="13" t="s">
        <v>86</v>
      </c>
      <c r="E4" s="13" t="s">
        <v>87</v>
      </c>
      <c r="F4" s="13" t="s">
        <v>88</v>
      </c>
      <c r="G4" s="13" t="s">
        <v>89</v>
      </c>
      <c r="H4" s="13" t="s">
        <v>90</v>
      </c>
      <c r="I4" s="13" t="s">
        <v>91</v>
      </c>
      <c r="J4" s="13" t="s">
        <v>92</v>
      </c>
      <c r="K4" s="13" t="s">
        <v>93</v>
      </c>
      <c r="L4" s="13" t="s">
        <v>94</v>
      </c>
      <c r="M4" s="13" t="s">
        <v>95</v>
      </c>
      <c r="N4" s="13" t="s">
        <v>137</v>
      </c>
    </row>
    <row r="5" spans="1:14" ht="20.100000000000001" customHeight="1" x14ac:dyDescent="0.2">
      <c r="A5" s="14" t="s">
        <v>26</v>
      </c>
      <c r="B5" s="31">
        <f>SUMIF('מלאי לפי חנות'!$E$5:$E$76,$A5,'מלאי לפי חנות'!$L$5:$L$76)</f>
        <v>161310.39999999999</v>
      </c>
      <c r="C5" s="31">
        <f>$B5*INDEX('הנחות ופרמטרים'!$B$15:$M$15,2)</f>
        <v>141953.152</v>
      </c>
      <c r="D5" s="31">
        <f>$B5*INDEX('הנחות ופרמטרים'!$B$15:$M$15,3)</f>
        <v>169375.92</v>
      </c>
      <c r="E5" s="31">
        <f>$B5*INDEX('הנחות ופרמטרים'!$B$15:$M$15,4)</f>
        <v>156471.08799999999</v>
      </c>
      <c r="F5" s="31">
        <f>$B5*INDEX('הנחות ופרמטרים'!$B$15:$M$15,5)</f>
        <v>180667.64800000002</v>
      </c>
      <c r="G5" s="31">
        <f>$B5*INDEX('הנחות ופרמטרים'!$B$15:$M$15,6)</f>
        <v>195185.58399999997</v>
      </c>
      <c r="H5" s="31">
        <f>$B5*INDEX('הנחות ופרמטרים'!$B$15:$M$15,7)</f>
        <v>190346.272</v>
      </c>
      <c r="I5" s="31">
        <f>$B5*INDEX('הנחות ופרמטרים'!$B$15:$M$15,8)</f>
        <v>164536.60800000001</v>
      </c>
      <c r="J5" s="31">
        <f>$B5*INDEX('הנחות ופרמטרים'!$B$15:$M$15,9)</f>
        <v>175828.33600000001</v>
      </c>
      <c r="K5" s="31">
        <f>$B5*INDEX('הנחות ופרמטרים'!$B$15:$M$15,10)</f>
        <v>183893.85599999997</v>
      </c>
      <c r="L5" s="31">
        <f>$B5*INDEX('הנחות ופרמטרים'!$B$15:$M$15,11)</f>
        <v>201638</v>
      </c>
      <c r="M5" s="31">
        <f>$B5*INDEX('הנחות ופרמטרים'!$B$15:$M$15,12)</f>
        <v>225834.55999999997</v>
      </c>
      <c r="N5" s="31">
        <f t="shared" ref="N5:N10" si="0">SUM(B5:M5)</f>
        <v>2147041.4240000001</v>
      </c>
    </row>
    <row r="6" spans="1:14" ht="20.100000000000001" customHeight="1" x14ac:dyDescent="0.2">
      <c r="A6" s="18" t="s">
        <v>29</v>
      </c>
      <c r="B6" s="34">
        <f>SUMIF('מלאי לפי חנות'!$E$5:$E$76,$A6,'מלאי לפי חנות'!$L$5:$L$76)</f>
        <v>134320.29999999999</v>
      </c>
      <c r="C6" s="34">
        <f>$B6*INDEX('הנחות ופרמטרים'!$B$15:$M$15,2)</f>
        <v>118201.86399999999</v>
      </c>
      <c r="D6" s="34">
        <f>$B6*INDEX('הנחות ופרמטרים'!$B$15:$M$15,3)</f>
        <v>141036.315</v>
      </c>
      <c r="E6" s="34">
        <f>$B6*INDEX('הנחות ופרמטרים'!$B$15:$M$15,4)</f>
        <v>130290.69099999999</v>
      </c>
      <c r="F6" s="34">
        <f>$B6*INDEX('הנחות ופרמטרים'!$B$15:$M$15,5)</f>
        <v>150438.736</v>
      </c>
      <c r="G6" s="34">
        <f>$B6*INDEX('הנחות ופרמטרים'!$B$15:$M$15,6)</f>
        <v>162527.56299999999</v>
      </c>
      <c r="H6" s="34">
        <f>$B6*INDEX('הנחות ופרמטרים'!$B$15:$M$15,7)</f>
        <v>158497.95399999997</v>
      </c>
      <c r="I6" s="34">
        <f>$B6*INDEX('הנחות ופרמטרים'!$B$15:$M$15,8)</f>
        <v>137006.70599999998</v>
      </c>
      <c r="J6" s="34">
        <f>$B6*INDEX('הנחות ופרמטרים'!$B$15:$M$15,9)</f>
        <v>146409.12700000001</v>
      </c>
      <c r="K6" s="34">
        <f>$B6*INDEX('הנחות ופרמטרים'!$B$15:$M$15,10)</f>
        <v>153125.14199999996</v>
      </c>
      <c r="L6" s="34">
        <f>$B6*INDEX('הנחות ופרמטרים'!$B$15:$M$15,11)</f>
        <v>167900.375</v>
      </c>
      <c r="M6" s="34">
        <f>$B6*INDEX('הנחות ופרמטרים'!$B$15:$M$15,12)</f>
        <v>188048.41999999998</v>
      </c>
      <c r="N6" s="34">
        <f t="shared" si="0"/>
        <v>1787803.193</v>
      </c>
    </row>
    <row r="7" spans="1:14" ht="20.100000000000001" customHeight="1" x14ac:dyDescent="0.2">
      <c r="A7" s="14" t="s">
        <v>31</v>
      </c>
      <c r="B7" s="31">
        <f>SUMIF('מלאי לפי חנות'!$E$5:$E$76,$A7,'מלאי לפי חנות'!$L$5:$L$76)</f>
        <v>84459.199999999997</v>
      </c>
      <c r="C7" s="31">
        <f>$B7*INDEX('הנחות ופרמטרים'!$B$15:$M$15,2)</f>
        <v>74324.096000000005</v>
      </c>
      <c r="D7" s="31">
        <f>$B7*INDEX('הנחות ופרמטרים'!$B$15:$M$15,3)</f>
        <v>88682.16</v>
      </c>
      <c r="E7" s="31">
        <f>$B7*INDEX('הנחות ופרמטרים'!$B$15:$M$15,4)</f>
        <v>81925.423999999999</v>
      </c>
      <c r="F7" s="31">
        <f>$B7*INDEX('הנחות ופרמטרים'!$B$15:$M$15,5)</f>
        <v>94594.304000000004</v>
      </c>
      <c r="G7" s="31">
        <f>$B7*INDEX('הנחות ופרמטרים'!$B$15:$M$15,6)</f>
        <v>102195.632</v>
      </c>
      <c r="H7" s="31">
        <f>$B7*INDEX('הנחות ופרמטרים'!$B$15:$M$15,7)</f>
        <v>99661.855999999985</v>
      </c>
      <c r="I7" s="31">
        <f>$B7*INDEX('הנחות ופרמטרים'!$B$15:$M$15,8)</f>
        <v>86148.384000000005</v>
      </c>
      <c r="J7" s="31">
        <f>$B7*INDEX('הנחות ופרמטרים'!$B$15:$M$15,9)</f>
        <v>92060.528000000006</v>
      </c>
      <c r="K7" s="31">
        <f>$B7*INDEX('הנחות ופרמטרים'!$B$15:$M$15,10)</f>
        <v>96283.487999999983</v>
      </c>
      <c r="L7" s="31">
        <f>$B7*INDEX('הנחות ופרמטרים'!$B$15:$M$15,11)</f>
        <v>105574</v>
      </c>
      <c r="M7" s="31">
        <f>$B7*INDEX('הנחות ופרמטרים'!$B$15:$M$15,12)</f>
        <v>118242.87999999999</v>
      </c>
      <c r="N7" s="31">
        <f t="shared" si="0"/>
        <v>1124151.952</v>
      </c>
    </row>
    <row r="8" spans="1:14" ht="20.100000000000001" customHeight="1" x14ac:dyDescent="0.2">
      <c r="A8" s="18" t="s">
        <v>34</v>
      </c>
      <c r="B8" s="34">
        <f>SUMIF('מלאי לפי חנות'!$E$5:$E$76,$A8,'מלאי לפי חנות'!$L$5:$L$76)</f>
        <v>170720.9</v>
      </c>
      <c r="C8" s="34">
        <f>$B8*INDEX('הנחות ופרמטרים'!$B$15:$M$15,2)</f>
        <v>150234.39199999999</v>
      </c>
      <c r="D8" s="34">
        <f>$B8*INDEX('הנחות ופרמטרים'!$B$15:$M$15,3)</f>
        <v>179256.94500000001</v>
      </c>
      <c r="E8" s="34">
        <f>$B8*INDEX('הנחות ופרמטרים'!$B$15:$M$15,4)</f>
        <v>165599.27299999999</v>
      </c>
      <c r="F8" s="34">
        <f>$B8*INDEX('הנחות ופרמטרים'!$B$15:$M$15,5)</f>
        <v>191207.40800000002</v>
      </c>
      <c r="G8" s="34">
        <f>$B8*INDEX('הנחות ופרמטרים'!$B$15:$M$15,6)</f>
        <v>206572.28899999999</v>
      </c>
      <c r="H8" s="34">
        <f>$B8*INDEX('הנחות ופרמטרים'!$B$15:$M$15,7)</f>
        <v>201450.66199999998</v>
      </c>
      <c r="I8" s="34">
        <f>$B8*INDEX('הנחות ופרמטרים'!$B$15:$M$15,8)</f>
        <v>174135.318</v>
      </c>
      <c r="J8" s="34">
        <f>$B8*INDEX('הנחות ופרמטרים'!$B$15:$M$15,9)</f>
        <v>186085.78100000002</v>
      </c>
      <c r="K8" s="34">
        <f>$B8*INDEX('הנחות ופרמטרים'!$B$15:$M$15,10)</f>
        <v>194621.82599999997</v>
      </c>
      <c r="L8" s="34">
        <f>$B8*INDEX('הנחות ופרמטרים'!$B$15:$M$15,11)</f>
        <v>213401.125</v>
      </c>
      <c r="M8" s="34">
        <f>$B8*INDEX('הנחות ופרמטרים'!$B$15:$M$15,12)</f>
        <v>239009.25999999998</v>
      </c>
      <c r="N8" s="34">
        <f t="shared" si="0"/>
        <v>2272295.1789999995</v>
      </c>
    </row>
    <row r="9" spans="1:14" ht="20.100000000000001" customHeight="1" x14ac:dyDescent="0.2">
      <c r="A9" s="14" t="s">
        <v>36</v>
      </c>
      <c r="B9" s="31">
        <f>SUMIF('מלאי לפי חנות'!$E$5:$E$76,$A9,'מלאי לפי חנות'!$L$5:$L$76)</f>
        <v>125345.9</v>
      </c>
      <c r="C9" s="31">
        <f>$B9*INDEX('הנחות ופרמטרים'!$B$15:$M$15,2)</f>
        <v>110304.39199999999</v>
      </c>
      <c r="D9" s="31">
        <f>$B9*INDEX('הנחות ופרמטרים'!$B$15:$M$15,3)</f>
        <v>131613.19500000001</v>
      </c>
      <c r="E9" s="31">
        <f>$B9*INDEX('הנחות ופרמטרים'!$B$15:$M$15,4)</f>
        <v>121585.52299999999</v>
      </c>
      <c r="F9" s="31">
        <f>$B9*INDEX('הנחות ופרמטרים'!$B$15:$M$15,5)</f>
        <v>140387.408</v>
      </c>
      <c r="G9" s="31">
        <f>$B9*INDEX('הנחות ופרמטרים'!$B$15:$M$15,6)</f>
        <v>151668.53899999999</v>
      </c>
      <c r="H9" s="31">
        <f>$B9*INDEX('הנחות ופרמטרים'!$B$15:$M$15,7)</f>
        <v>147908.16199999998</v>
      </c>
      <c r="I9" s="31">
        <f>$B9*INDEX('הנחות ופרמטרים'!$B$15:$M$15,8)</f>
        <v>127852.818</v>
      </c>
      <c r="J9" s="31">
        <f>$B9*INDEX('הנחות ופרמטרים'!$B$15:$M$15,9)</f>
        <v>136627.03100000002</v>
      </c>
      <c r="K9" s="31">
        <f>$B9*INDEX('הנחות ופרמטרים'!$B$15:$M$15,10)</f>
        <v>142894.32599999997</v>
      </c>
      <c r="L9" s="31">
        <f>$B9*INDEX('הנחות ופרמטרים'!$B$15:$M$15,11)</f>
        <v>156682.375</v>
      </c>
      <c r="M9" s="31">
        <f>$B9*INDEX('הנחות ופרמטרים'!$B$15:$M$15,12)</f>
        <v>175484.25999999998</v>
      </c>
      <c r="N9" s="31">
        <f t="shared" si="0"/>
        <v>1668353.9289999998</v>
      </c>
    </row>
    <row r="10" spans="1:14" ht="20.100000000000001" customHeight="1" x14ac:dyDescent="0.2">
      <c r="A10" s="18" t="s">
        <v>39</v>
      </c>
      <c r="B10" s="34">
        <f>SUMIF('מלאי לפי חנות'!$E$5:$E$76,$A10,'מלאי לפי חנות'!$L$5:$L$76)</f>
        <v>105428.2</v>
      </c>
      <c r="C10" s="34">
        <f>$B10*INDEX('הנחות ופרמטרים'!$B$15:$M$15,2)</f>
        <v>92776.815999999992</v>
      </c>
      <c r="D10" s="34">
        <f>$B10*INDEX('הנחות ופרמטרים'!$B$15:$M$15,3)</f>
        <v>110699.61</v>
      </c>
      <c r="E10" s="34">
        <f>$B10*INDEX('הנחות ופרמטרים'!$B$15:$M$15,4)</f>
        <v>102265.35399999999</v>
      </c>
      <c r="F10" s="34">
        <f>$B10*INDEX('הנחות ופרמטרים'!$B$15:$M$15,5)</f>
        <v>118079.584</v>
      </c>
      <c r="G10" s="34">
        <f>$B10*INDEX('הנחות ופרמטרים'!$B$15:$M$15,6)</f>
        <v>127568.12199999999</v>
      </c>
      <c r="H10" s="34">
        <f>$B10*INDEX('הנחות ופרמטרים'!$B$15:$M$15,7)</f>
        <v>124405.27599999998</v>
      </c>
      <c r="I10" s="34">
        <f>$B10*INDEX('הנחות ופרמטרים'!$B$15:$M$15,8)</f>
        <v>107536.764</v>
      </c>
      <c r="J10" s="34">
        <f>$B10*INDEX('הנחות ופרמטרים'!$B$15:$M$15,9)</f>
        <v>114916.73800000001</v>
      </c>
      <c r="K10" s="34">
        <f>$B10*INDEX('הנחות ופרמטרים'!$B$15:$M$15,10)</f>
        <v>120188.14799999999</v>
      </c>
      <c r="L10" s="34">
        <f>$B10*INDEX('הנחות ופרמטרים'!$B$15:$M$15,11)</f>
        <v>131785.25</v>
      </c>
      <c r="M10" s="34">
        <f>$B10*INDEX('הנחות ופרמטרים'!$B$15:$M$15,12)</f>
        <v>147599.47999999998</v>
      </c>
      <c r="N10" s="34">
        <f t="shared" si="0"/>
        <v>1403249.3419999999</v>
      </c>
    </row>
    <row r="11" spans="1:14" ht="21.95" customHeight="1" x14ac:dyDescent="0.2">
      <c r="A11" s="37" t="s">
        <v>138</v>
      </c>
      <c r="B11" s="38">
        <f t="shared" ref="B11:N11" si="1">SUM(B5:B10)</f>
        <v>781584.89999999991</v>
      </c>
      <c r="C11" s="38">
        <f t="shared" si="1"/>
        <v>687794.71199999994</v>
      </c>
      <c r="D11" s="38">
        <f t="shared" si="1"/>
        <v>820664.14500000014</v>
      </c>
      <c r="E11" s="38">
        <f t="shared" si="1"/>
        <v>758137.35300000012</v>
      </c>
      <c r="F11" s="38">
        <f t="shared" si="1"/>
        <v>875375.08799999999</v>
      </c>
      <c r="G11" s="38">
        <f t="shared" si="1"/>
        <v>945717.72899999993</v>
      </c>
      <c r="H11" s="38">
        <f t="shared" si="1"/>
        <v>922270.18199999991</v>
      </c>
      <c r="I11" s="38">
        <f t="shared" si="1"/>
        <v>797216.598</v>
      </c>
      <c r="J11" s="38">
        <f t="shared" si="1"/>
        <v>851927.54100000008</v>
      </c>
      <c r="K11" s="38">
        <f t="shared" si="1"/>
        <v>891006.78599999985</v>
      </c>
      <c r="L11" s="38">
        <f t="shared" si="1"/>
        <v>976981.125</v>
      </c>
      <c r="M11" s="38">
        <f t="shared" si="1"/>
        <v>1094218.8599999999</v>
      </c>
      <c r="N11" s="38">
        <f t="shared" si="1"/>
        <v>10402895.018999999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4"/>
  <sheetViews>
    <sheetView showGridLines="0" rightToLeft="1" workbookViewId="0">
      <pane ySplit="4" topLeftCell="A5" activePane="bottomLeft" state="frozen"/>
      <selection pane="bottomLeft"/>
    </sheetView>
  </sheetViews>
  <sheetFormatPr defaultRowHeight="14.25" x14ac:dyDescent="0.2"/>
  <cols>
    <col min="1" max="1" width="24" customWidth="1"/>
    <col min="2" max="13" width="13" customWidth="1"/>
    <col min="14" max="14" width="16" customWidth="1"/>
  </cols>
  <sheetData>
    <row r="1" spans="1:14" ht="30" customHeight="1" x14ac:dyDescent="0.2">
      <c r="A1" s="1" t="s">
        <v>139</v>
      </c>
    </row>
    <row r="2" spans="1:14" ht="15.95" customHeight="1" x14ac:dyDescent="0.2">
      <c r="A2" s="2" t="s">
        <v>140</v>
      </c>
    </row>
    <row r="4" spans="1:14" ht="33.950000000000003" customHeight="1" x14ac:dyDescent="0.2">
      <c r="A4" s="13" t="s">
        <v>141</v>
      </c>
      <c r="B4" s="13" t="s">
        <v>84</v>
      </c>
      <c r="C4" s="13" t="s">
        <v>85</v>
      </c>
      <c r="D4" s="13" t="s">
        <v>86</v>
      </c>
      <c r="E4" s="13" t="s">
        <v>87</v>
      </c>
      <c r="F4" s="13" t="s">
        <v>88</v>
      </c>
      <c r="G4" s="13" t="s">
        <v>89</v>
      </c>
      <c r="H4" s="13" t="s">
        <v>90</v>
      </c>
      <c r="I4" s="13" t="s">
        <v>91</v>
      </c>
      <c r="J4" s="13" t="s">
        <v>92</v>
      </c>
      <c r="K4" s="13" t="s">
        <v>93</v>
      </c>
      <c r="L4" s="13" t="s">
        <v>94</v>
      </c>
      <c r="M4" s="13" t="s">
        <v>95</v>
      </c>
      <c r="N4" s="13" t="s">
        <v>137</v>
      </c>
    </row>
    <row r="5" spans="1:14" ht="20.100000000000001" customHeight="1" x14ac:dyDescent="0.2">
      <c r="A5" s="14" t="s">
        <v>142</v>
      </c>
      <c r="B5" s="31">
        <v>168000</v>
      </c>
      <c r="C5" s="31">
        <v>166300</v>
      </c>
      <c r="D5" s="31">
        <v>171400</v>
      </c>
      <c r="E5" s="31">
        <v>169700</v>
      </c>
      <c r="F5" s="31">
        <v>174700</v>
      </c>
      <c r="G5" s="31">
        <v>178100</v>
      </c>
      <c r="H5" s="31">
        <v>176400</v>
      </c>
      <c r="I5" s="31">
        <v>179800</v>
      </c>
      <c r="J5" s="31">
        <v>178100</v>
      </c>
      <c r="K5" s="31">
        <v>181400</v>
      </c>
      <c r="L5" s="31">
        <v>184800</v>
      </c>
      <c r="M5" s="31">
        <v>193200</v>
      </c>
      <c r="N5" s="31">
        <f t="shared" ref="N5:N13" si="0">SUM(B5:M5)</f>
        <v>2121900</v>
      </c>
    </row>
    <row r="6" spans="1:14" ht="20.100000000000001" customHeight="1" x14ac:dyDescent="0.2">
      <c r="A6" s="18" t="s">
        <v>143</v>
      </c>
      <c r="B6" s="34">
        <v>62000</v>
      </c>
      <c r="C6" s="34">
        <v>61400</v>
      </c>
      <c r="D6" s="34">
        <v>63200</v>
      </c>
      <c r="E6" s="34">
        <v>62600</v>
      </c>
      <c r="F6" s="34">
        <v>64500</v>
      </c>
      <c r="G6" s="34">
        <v>65700</v>
      </c>
      <c r="H6" s="34">
        <v>65100</v>
      </c>
      <c r="I6" s="34">
        <v>66300</v>
      </c>
      <c r="J6" s="34">
        <v>65700</v>
      </c>
      <c r="K6" s="34">
        <v>67000</v>
      </c>
      <c r="L6" s="34">
        <v>68200</v>
      </c>
      <c r="M6" s="34">
        <v>71300</v>
      </c>
      <c r="N6" s="34">
        <f t="shared" si="0"/>
        <v>783000</v>
      </c>
    </row>
    <row r="7" spans="1:14" ht="20.100000000000001" customHeight="1" x14ac:dyDescent="0.2">
      <c r="A7" s="14" t="s">
        <v>144</v>
      </c>
      <c r="B7" s="31">
        <v>41500</v>
      </c>
      <c r="C7" s="31">
        <v>41100</v>
      </c>
      <c r="D7" s="31">
        <v>42300</v>
      </c>
      <c r="E7" s="31">
        <v>41900</v>
      </c>
      <c r="F7" s="31">
        <v>43200</v>
      </c>
      <c r="G7" s="31">
        <v>44000</v>
      </c>
      <c r="H7" s="31">
        <v>43600</v>
      </c>
      <c r="I7" s="31">
        <v>44400</v>
      </c>
      <c r="J7" s="31">
        <v>44000</v>
      </c>
      <c r="K7" s="31">
        <v>44800</v>
      </c>
      <c r="L7" s="31">
        <v>45700</v>
      </c>
      <c r="M7" s="31">
        <v>47700</v>
      </c>
      <c r="N7" s="31">
        <f t="shared" si="0"/>
        <v>524200</v>
      </c>
    </row>
    <row r="8" spans="1:14" ht="20.100000000000001" customHeight="1" x14ac:dyDescent="0.2">
      <c r="A8" s="18" t="s">
        <v>145</v>
      </c>
      <c r="B8" s="34">
        <v>11800</v>
      </c>
      <c r="C8" s="34">
        <v>11700</v>
      </c>
      <c r="D8" s="34">
        <v>12000</v>
      </c>
      <c r="E8" s="34">
        <v>11900</v>
      </c>
      <c r="F8" s="34">
        <v>12300</v>
      </c>
      <c r="G8" s="34">
        <v>12500</v>
      </c>
      <c r="H8" s="34">
        <v>12400</v>
      </c>
      <c r="I8" s="34">
        <v>12600</v>
      </c>
      <c r="J8" s="34">
        <v>12500</v>
      </c>
      <c r="K8" s="34">
        <v>12700</v>
      </c>
      <c r="L8" s="34">
        <v>13000</v>
      </c>
      <c r="M8" s="34">
        <v>13600</v>
      </c>
      <c r="N8" s="34">
        <f t="shared" si="0"/>
        <v>149000</v>
      </c>
    </row>
    <row r="9" spans="1:14" ht="20.100000000000001" customHeight="1" x14ac:dyDescent="0.2">
      <c r="A9" s="14" t="s">
        <v>146</v>
      </c>
      <c r="B9" s="31">
        <v>7400</v>
      </c>
      <c r="C9" s="31">
        <v>7300</v>
      </c>
      <c r="D9" s="31">
        <v>7500</v>
      </c>
      <c r="E9" s="31">
        <v>7500</v>
      </c>
      <c r="F9" s="31">
        <v>7700</v>
      </c>
      <c r="G9" s="31">
        <v>7800</v>
      </c>
      <c r="H9" s="31">
        <v>7800</v>
      </c>
      <c r="I9" s="31">
        <v>7900</v>
      </c>
      <c r="J9" s="31">
        <v>7800</v>
      </c>
      <c r="K9" s="31">
        <v>8000</v>
      </c>
      <c r="L9" s="31">
        <v>8100</v>
      </c>
      <c r="M9" s="31">
        <v>8500</v>
      </c>
      <c r="N9" s="31">
        <f t="shared" si="0"/>
        <v>93300</v>
      </c>
    </row>
    <row r="10" spans="1:14" ht="20.100000000000001" customHeight="1" x14ac:dyDescent="0.2">
      <c r="A10" s="18" t="s">
        <v>147</v>
      </c>
      <c r="B10" s="34">
        <v>14200</v>
      </c>
      <c r="C10" s="34">
        <v>14100</v>
      </c>
      <c r="D10" s="34">
        <v>14500</v>
      </c>
      <c r="E10" s="34">
        <v>14300</v>
      </c>
      <c r="F10" s="34">
        <v>14800</v>
      </c>
      <c r="G10" s="34">
        <v>15100</v>
      </c>
      <c r="H10" s="34">
        <v>14900</v>
      </c>
      <c r="I10" s="34">
        <v>15200</v>
      </c>
      <c r="J10" s="34">
        <v>15100</v>
      </c>
      <c r="K10" s="34">
        <v>15300</v>
      </c>
      <c r="L10" s="34">
        <v>15600</v>
      </c>
      <c r="M10" s="34">
        <v>16300</v>
      </c>
      <c r="N10" s="34">
        <f t="shared" si="0"/>
        <v>179400</v>
      </c>
    </row>
    <row r="11" spans="1:14" ht="20.100000000000001" customHeight="1" x14ac:dyDescent="0.2">
      <c r="A11" s="14" t="s">
        <v>148</v>
      </c>
      <c r="B11" s="31">
        <v>19600</v>
      </c>
      <c r="C11" s="31">
        <v>19400</v>
      </c>
      <c r="D11" s="31">
        <v>20000</v>
      </c>
      <c r="E11" s="31">
        <v>19800</v>
      </c>
      <c r="F11" s="31">
        <v>20400</v>
      </c>
      <c r="G11" s="31">
        <v>20800</v>
      </c>
      <c r="H11" s="31">
        <v>20600</v>
      </c>
      <c r="I11" s="31">
        <v>21000</v>
      </c>
      <c r="J11" s="31">
        <v>20800</v>
      </c>
      <c r="K11" s="31">
        <v>21200</v>
      </c>
      <c r="L11" s="31">
        <v>21600</v>
      </c>
      <c r="M11" s="31">
        <v>22500</v>
      </c>
      <c r="N11" s="31">
        <f t="shared" si="0"/>
        <v>247700</v>
      </c>
    </row>
    <row r="12" spans="1:14" ht="20.100000000000001" customHeight="1" x14ac:dyDescent="0.2">
      <c r="A12" s="18" t="s">
        <v>149</v>
      </c>
      <c r="B12" s="34">
        <v>8300</v>
      </c>
      <c r="C12" s="34">
        <v>8200</v>
      </c>
      <c r="D12" s="34">
        <v>8500</v>
      </c>
      <c r="E12" s="34">
        <v>8400</v>
      </c>
      <c r="F12" s="34">
        <v>8600</v>
      </c>
      <c r="G12" s="34">
        <v>8800</v>
      </c>
      <c r="H12" s="34">
        <v>8700</v>
      </c>
      <c r="I12" s="34">
        <v>8900</v>
      </c>
      <c r="J12" s="34">
        <v>8800</v>
      </c>
      <c r="K12" s="34">
        <v>9000</v>
      </c>
      <c r="L12" s="34">
        <v>9100</v>
      </c>
      <c r="M12" s="34">
        <v>9500</v>
      </c>
      <c r="N12" s="34">
        <f t="shared" si="0"/>
        <v>104800</v>
      </c>
    </row>
    <row r="13" spans="1:14" ht="20.100000000000001" customHeight="1" x14ac:dyDescent="0.2">
      <c r="A13" s="14" t="s">
        <v>150</v>
      </c>
      <c r="B13" s="31">
        <v>12000</v>
      </c>
      <c r="C13" s="31">
        <v>11900</v>
      </c>
      <c r="D13" s="31">
        <v>12200</v>
      </c>
      <c r="E13" s="31">
        <v>12100</v>
      </c>
      <c r="F13" s="31">
        <v>12500</v>
      </c>
      <c r="G13" s="31">
        <v>12700</v>
      </c>
      <c r="H13" s="31">
        <v>12600</v>
      </c>
      <c r="I13" s="31">
        <v>12800</v>
      </c>
      <c r="J13" s="31">
        <v>12700</v>
      </c>
      <c r="K13" s="31">
        <v>13000</v>
      </c>
      <c r="L13" s="31">
        <v>13200</v>
      </c>
      <c r="M13" s="31">
        <v>13800</v>
      </c>
      <c r="N13" s="31">
        <f t="shared" si="0"/>
        <v>151500</v>
      </c>
    </row>
    <row r="14" spans="1:14" ht="21.95" customHeight="1" x14ac:dyDescent="0.2">
      <c r="A14" s="37" t="s">
        <v>151</v>
      </c>
      <c r="B14" s="38">
        <f t="shared" ref="B14:N14" si="1">SUM(B5:B13)</f>
        <v>344800</v>
      </c>
      <c r="C14" s="38">
        <f t="shared" si="1"/>
        <v>341400</v>
      </c>
      <c r="D14" s="38">
        <f t="shared" si="1"/>
        <v>351600</v>
      </c>
      <c r="E14" s="38">
        <f t="shared" si="1"/>
        <v>348200</v>
      </c>
      <c r="F14" s="38">
        <f t="shared" si="1"/>
        <v>358700</v>
      </c>
      <c r="G14" s="38">
        <f t="shared" si="1"/>
        <v>365500</v>
      </c>
      <c r="H14" s="38">
        <f t="shared" si="1"/>
        <v>362100</v>
      </c>
      <c r="I14" s="38">
        <f t="shared" si="1"/>
        <v>368900</v>
      </c>
      <c r="J14" s="38">
        <f t="shared" si="1"/>
        <v>365500</v>
      </c>
      <c r="K14" s="38">
        <f t="shared" si="1"/>
        <v>372400</v>
      </c>
      <c r="L14" s="38">
        <f t="shared" si="1"/>
        <v>379300</v>
      </c>
      <c r="M14" s="38">
        <f t="shared" si="1"/>
        <v>396400</v>
      </c>
      <c r="N14" s="38">
        <f t="shared" si="1"/>
        <v>4354800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5"/>
  <sheetViews>
    <sheetView showGridLines="0" rightToLeft="1" workbookViewId="0">
      <pane ySplit="4" topLeftCell="A5" activePane="bottomLeft" state="frozen"/>
      <selection pane="bottomLeft"/>
    </sheetView>
  </sheetViews>
  <sheetFormatPr defaultRowHeight="14.25" x14ac:dyDescent="0.2"/>
  <cols>
    <col min="1" max="1" width="24" customWidth="1"/>
    <col min="2" max="13" width="13" customWidth="1"/>
    <col min="14" max="14" width="16" customWidth="1"/>
  </cols>
  <sheetData>
    <row r="1" spans="1:14" ht="30" customHeight="1" x14ac:dyDescent="0.2">
      <c r="A1" s="1" t="s">
        <v>152</v>
      </c>
    </row>
    <row r="2" spans="1:14" ht="15.95" customHeight="1" x14ac:dyDescent="0.2">
      <c r="A2" s="2" t="s">
        <v>153</v>
      </c>
    </row>
    <row r="4" spans="1:14" ht="33.950000000000003" customHeight="1" x14ac:dyDescent="0.2">
      <c r="A4" s="13" t="s">
        <v>154</v>
      </c>
      <c r="B4" s="13" t="s">
        <v>84</v>
      </c>
      <c r="C4" s="13" t="s">
        <v>85</v>
      </c>
      <c r="D4" s="13" t="s">
        <v>86</v>
      </c>
      <c r="E4" s="13" t="s">
        <v>87</v>
      </c>
      <c r="F4" s="13" t="s">
        <v>88</v>
      </c>
      <c r="G4" s="13" t="s">
        <v>89</v>
      </c>
      <c r="H4" s="13" t="s">
        <v>90</v>
      </c>
      <c r="I4" s="13" t="s">
        <v>91</v>
      </c>
      <c r="J4" s="13" t="s">
        <v>92</v>
      </c>
      <c r="K4" s="13" t="s">
        <v>93</v>
      </c>
      <c r="L4" s="13" t="s">
        <v>94</v>
      </c>
      <c r="M4" s="13" t="s">
        <v>95</v>
      </c>
      <c r="N4" s="13" t="s">
        <v>137</v>
      </c>
    </row>
    <row r="5" spans="1:14" ht="20.100000000000001" customHeight="1" x14ac:dyDescent="0.2">
      <c r="A5" s="14" t="s">
        <v>155</v>
      </c>
      <c r="B5" s="40">
        <f>הכנסות!B11</f>
        <v>781584.89999999991</v>
      </c>
      <c r="C5" s="40">
        <f>הכנסות!C11</f>
        <v>687794.71199999994</v>
      </c>
      <c r="D5" s="40">
        <f>הכנסות!D11</f>
        <v>820664.14500000014</v>
      </c>
      <c r="E5" s="40">
        <f>הכנסות!E11</f>
        <v>758137.35300000012</v>
      </c>
      <c r="F5" s="40">
        <f>הכנסות!F11</f>
        <v>875375.08799999999</v>
      </c>
      <c r="G5" s="40">
        <f>הכנסות!G11</f>
        <v>945717.72899999993</v>
      </c>
      <c r="H5" s="40">
        <f>הכנסות!H11</f>
        <v>922270.18199999991</v>
      </c>
      <c r="I5" s="40">
        <f>הכנסות!I11</f>
        <v>797216.598</v>
      </c>
      <c r="J5" s="40">
        <f>הכנסות!J11</f>
        <v>851927.54100000008</v>
      </c>
      <c r="K5" s="40">
        <f>הכנסות!K11</f>
        <v>891006.78599999985</v>
      </c>
      <c r="L5" s="40">
        <f>הכנסות!L11</f>
        <v>976981.125</v>
      </c>
      <c r="M5" s="40">
        <f>הכנסות!M11</f>
        <v>1094218.8599999999</v>
      </c>
      <c r="N5" s="40">
        <f t="shared" ref="N5:N11" si="0">SUM(B5:M5)</f>
        <v>10402895.018999999</v>
      </c>
    </row>
    <row r="6" spans="1:14" ht="20.100000000000001" customHeight="1" x14ac:dyDescent="0.2">
      <c r="A6" s="14" t="s">
        <v>156</v>
      </c>
      <c r="B6" s="40">
        <f>-B5*'הנחות ופרמטרים'!$B$5/(1+'הנחות ופרמטרים'!$B$5)</f>
        <v>-119224.81525423727</v>
      </c>
      <c r="C6" s="40">
        <f>-C5*'הנחות ופרמטרים'!$B$5/(1+'הנחות ופרמטרים'!$B$5)</f>
        <v>-104917.83742372881</v>
      </c>
      <c r="D6" s="40">
        <f>-D5*'הנחות ופרמטרים'!$B$5/(1+'הנחות ופרמטרים'!$B$5)</f>
        <v>-125186.05601694917</v>
      </c>
      <c r="E6" s="40">
        <f>-E5*'הנחות ופרמטרים'!$B$5/(1+'הנחות ופרמטרים'!$B$5)</f>
        <v>-115648.07079661018</v>
      </c>
      <c r="F6" s="40">
        <f>-F5*'הנחות ופרמטרים'!$B$5/(1+'הנחות ופרמטרים'!$B$5)</f>
        <v>-133531.79308474576</v>
      </c>
      <c r="G6" s="40">
        <f>-G5*'הנחות ופרמטרים'!$B$5/(1+'הנחות ופרמטרים'!$B$5)</f>
        <v>-144262.0264576271</v>
      </c>
      <c r="H6" s="40">
        <f>-H5*'הנחות ופרמטרים'!$B$5/(1+'הנחות ופרמטרים'!$B$5)</f>
        <v>-140685.28199999998</v>
      </c>
      <c r="I6" s="40">
        <f>-I5*'הנחות ופרמטרים'!$B$5/(1+'הנחות ופרמטרים'!$B$5)</f>
        <v>-121609.31155932204</v>
      </c>
      <c r="J6" s="40">
        <f>-J5*'הנחות ופרמטרים'!$B$5/(1+'הנחות ופרמטרים'!$B$5)</f>
        <v>-129955.04862711865</v>
      </c>
      <c r="K6" s="40">
        <f>-K5*'הנחות ופרמטרים'!$B$5/(1+'הנחות ופרמטרים'!$B$5)</f>
        <v>-135916.28938983049</v>
      </c>
      <c r="L6" s="40">
        <f>-L5*'הנחות ופרמטרים'!$B$5/(1+'הנחות ופרמטרים'!$B$5)</f>
        <v>-149031.01906779659</v>
      </c>
      <c r="M6" s="40">
        <f>-M5*'הנחות ופרמטרים'!$B$5/(1+'הנחות ופרמטרים'!$B$5)</f>
        <v>-166914.7413559322</v>
      </c>
      <c r="N6" s="40">
        <f t="shared" si="0"/>
        <v>-1586882.2910338985</v>
      </c>
    </row>
    <row r="7" spans="1:14" ht="21.95" customHeight="1" x14ac:dyDescent="0.2">
      <c r="A7" s="37" t="s">
        <v>157</v>
      </c>
      <c r="B7" s="41">
        <f t="shared" ref="B7:M7" si="1">B5+B6</f>
        <v>662360.08474576264</v>
      </c>
      <c r="C7" s="41">
        <f t="shared" si="1"/>
        <v>582876.87457627116</v>
      </c>
      <c r="D7" s="41">
        <f t="shared" si="1"/>
        <v>695478.08898305101</v>
      </c>
      <c r="E7" s="41">
        <f t="shared" si="1"/>
        <v>642489.28220338991</v>
      </c>
      <c r="F7" s="41">
        <f t="shared" si="1"/>
        <v>741843.29491525423</v>
      </c>
      <c r="G7" s="41">
        <f t="shared" si="1"/>
        <v>801455.70254237286</v>
      </c>
      <c r="H7" s="41">
        <f t="shared" si="1"/>
        <v>781584.89999999991</v>
      </c>
      <c r="I7" s="41">
        <f t="shared" si="1"/>
        <v>675607.28644067794</v>
      </c>
      <c r="J7" s="41">
        <f t="shared" si="1"/>
        <v>721972.49237288139</v>
      </c>
      <c r="K7" s="41">
        <f t="shared" si="1"/>
        <v>755090.4966101693</v>
      </c>
      <c r="L7" s="41">
        <f t="shared" si="1"/>
        <v>827950.10593220335</v>
      </c>
      <c r="M7" s="41">
        <f t="shared" si="1"/>
        <v>927304.11864406767</v>
      </c>
      <c r="N7" s="41">
        <f t="shared" si="0"/>
        <v>8816012.7279661018</v>
      </c>
    </row>
    <row r="8" spans="1:14" ht="20.100000000000001" customHeight="1" x14ac:dyDescent="0.2">
      <c r="A8" s="14" t="s">
        <v>158</v>
      </c>
      <c r="B8" s="40">
        <f>-B7*'הנחות ופרמטרים'!$B$6</f>
        <v>-278191.23559322028</v>
      </c>
      <c r="C8" s="40">
        <f>-C7*'הנחות ופרמטרים'!$B$6</f>
        <v>-244808.28732203387</v>
      </c>
      <c r="D8" s="40">
        <f>-D7*'הנחות ופרמטרים'!$B$6</f>
        <v>-292100.79737288144</v>
      </c>
      <c r="E8" s="40">
        <f>-E7*'הנחות ופרמטרים'!$B$6</f>
        <v>-269845.49852542375</v>
      </c>
      <c r="F8" s="40">
        <f>-F7*'הנחות ופרמטרים'!$B$6</f>
        <v>-311574.18386440678</v>
      </c>
      <c r="G8" s="40">
        <f>-G7*'הנחות ופרמטרים'!$B$6</f>
        <v>-336611.39506779658</v>
      </c>
      <c r="H8" s="40">
        <f>-H7*'הנחות ופרמטרים'!$B$6</f>
        <v>-328265.65799999994</v>
      </c>
      <c r="I8" s="40">
        <f>-I7*'הנחות ופרמטרים'!$B$6</f>
        <v>-283755.06030508474</v>
      </c>
      <c r="J8" s="40">
        <f>-J7*'הנחות ופרמטרים'!$B$6</f>
        <v>-303228.44679661019</v>
      </c>
      <c r="K8" s="40">
        <f>-K7*'הנחות ופרמטרים'!$B$6</f>
        <v>-317138.00857627107</v>
      </c>
      <c r="L8" s="40">
        <f>-L7*'הנחות ופרמטרים'!$B$6</f>
        <v>-347739.04449152539</v>
      </c>
      <c r="M8" s="40">
        <f>-M7*'הנחות ופרמטרים'!$B$6</f>
        <v>-389467.72983050841</v>
      </c>
      <c r="N8" s="40">
        <f t="shared" si="0"/>
        <v>-3702725.3457457623</v>
      </c>
    </row>
    <row r="9" spans="1:14" ht="21.95" customHeight="1" x14ac:dyDescent="0.2">
      <c r="A9" s="37" t="s">
        <v>159</v>
      </c>
      <c r="B9" s="41">
        <f t="shared" ref="B9:M9" si="2">B7+B8</f>
        <v>384168.84915254236</v>
      </c>
      <c r="C9" s="41">
        <f t="shared" si="2"/>
        <v>338068.58725423727</v>
      </c>
      <c r="D9" s="41">
        <f t="shared" si="2"/>
        <v>403377.29161016957</v>
      </c>
      <c r="E9" s="41">
        <f t="shared" si="2"/>
        <v>372643.78367796616</v>
      </c>
      <c r="F9" s="41">
        <f t="shared" si="2"/>
        <v>430269.11105084745</v>
      </c>
      <c r="G9" s="41">
        <f t="shared" si="2"/>
        <v>464844.30747457629</v>
      </c>
      <c r="H9" s="41">
        <f t="shared" si="2"/>
        <v>453319.24199999997</v>
      </c>
      <c r="I9" s="41">
        <f t="shared" si="2"/>
        <v>391852.2261355932</v>
      </c>
      <c r="J9" s="41">
        <f t="shared" si="2"/>
        <v>418744.04557627119</v>
      </c>
      <c r="K9" s="41">
        <f t="shared" si="2"/>
        <v>437952.48803389823</v>
      </c>
      <c r="L9" s="41">
        <f t="shared" si="2"/>
        <v>480211.06144067796</v>
      </c>
      <c r="M9" s="41">
        <f t="shared" si="2"/>
        <v>537836.3888135592</v>
      </c>
      <c r="N9" s="41">
        <f t="shared" si="0"/>
        <v>5113287.382220339</v>
      </c>
    </row>
    <row r="10" spans="1:14" ht="20.100000000000001" customHeight="1" x14ac:dyDescent="0.2">
      <c r="A10" s="14" t="s">
        <v>160</v>
      </c>
      <c r="B10" s="40">
        <f>-הוצאות!B14</f>
        <v>-344800</v>
      </c>
      <c r="C10" s="40">
        <f>-הוצאות!C14</f>
        <v>-341400</v>
      </c>
      <c r="D10" s="40">
        <f>-הוצאות!D14</f>
        <v>-351600</v>
      </c>
      <c r="E10" s="40">
        <f>-הוצאות!E14</f>
        <v>-348200</v>
      </c>
      <c r="F10" s="40">
        <f>-הוצאות!F14</f>
        <v>-358700</v>
      </c>
      <c r="G10" s="40">
        <f>-הוצאות!G14</f>
        <v>-365500</v>
      </c>
      <c r="H10" s="40">
        <f>-הוצאות!H14</f>
        <v>-362100</v>
      </c>
      <c r="I10" s="40">
        <f>-הוצאות!I14</f>
        <v>-368900</v>
      </c>
      <c r="J10" s="40">
        <f>-הוצאות!J14</f>
        <v>-365500</v>
      </c>
      <c r="K10" s="40">
        <f>-הוצאות!K14</f>
        <v>-372400</v>
      </c>
      <c r="L10" s="40">
        <f>-הוצאות!L14</f>
        <v>-379300</v>
      </c>
      <c r="M10" s="40">
        <f>-הוצאות!M14</f>
        <v>-396400</v>
      </c>
      <c r="N10" s="40">
        <f t="shared" si="0"/>
        <v>-4354800</v>
      </c>
    </row>
    <row r="11" spans="1:14" ht="21.95" customHeight="1" x14ac:dyDescent="0.2">
      <c r="A11" s="37" t="s">
        <v>161</v>
      </c>
      <c r="B11" s="41">
        <f t="shared" ref="B11:M11" si="3">B9+B10</f>
        <v>39368.84915254236</v>
      </c>
      <c r="C11" s="41">
        <f t="shared" si="3"/>
        <v>-3331.4127457627328</v>
      </c>
      <c r="D11" s="41">
        <f t="shared" si="3"/>
        <v>51777.291610169574</v>
      </c>
      <c r="E11" s="41">
        <f t="shared" si="3"/>
        <v>24443.783677966159</v>
      </c>
      <c r="F11" s="41">
        <f t="shared" si="3"/>
        <v>71569.111050847452</v>
      </c>
      <c r="G11" s="41">
        <f t="shared" si="3"/>
        <v>99344.307474576286</v>
      </c>
      <c r="H11" s="41">
        <f t="shared" si="3"/>
        <v>91219.241999999969</v>
      </c>
      <c r="I11" s="41">
        <f t="shared" si="3"/>
        <v>22952.226135593199</v>
      </c>
      <c r="J11" s="41">
        <f t="shared" si="3"/>
        <v>53244.045576271194</v>
      </c>
      <c r="K11" s="41">
        <f t="shared" si="3"/>
        <v>65552.488033898233</v>
      </c>
      <c r="L11" s="41">
        <f t="shared" si="3"/>
        <v>100911.06144067796</v>
      </c>
      <c r="M11" s="41">
        <f t="shared" si="3"/>
        <v>141436.3888135592</v>
      </c>
      <c r="N11" s="41">
        <f t="shared" si="0"/>
        <v>758487.3822203388</v>
      </c>
    </row>
    <row r="13" spans="1:14" ht="24" customHeight="1" x14ac:dyDescent="0.2">
      <c r="A13" s="3" t="s">
        <v>162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</row>
    <row r="14" spans="1:14" ht="20.100000000000001" customHeight="1" x14ac:dyDescent="0.2">
      <c r="A14" s="14" t="s">
        <v>10</v>
      </c>
      <c r="B14" s="42">
        <f t="shared" ref="B14:N14" si="4">IFERROR(B9/B7,0)</f>
        <v>0.58000000000000007</v>
      </c>
      <c r="C14" s="42">
        <f t="shared" si="4"/>
        <v>0.57999999999999996</v>
      </c>
      <c r="D14" s="42">
        <f t="shared" si="4"/>
        <v>0.57999999999999996</v>
      </c>
      <c r="E14" s="42">
        <f t="shared" si="4"/>
        <v>0.57999999999999996</v>
      </c>
      <c r="F14" s="42">
        <f t="shared" si="4"/>
        <v>0.57999999999999996</v>
      </c>
      <c r="G14" s="42">
        <f t="shared" si="4"/>
        <v>0.58000000000000007</v>
      </c>
      <c r="H14" s="42">
        <f t="shared" si="4"/>
        <v>0.58000000000000007</v>
      </c>
      <c r="I14" s="42">
        <f t="shared" si="4"/>
        <v>0.57999999999999996</v>
      </c>
      <c r="J14" s="42">
        <f t="shared" si="4"/>
        <v>0.57999999999999996</v>
      </c>
      <c r="K14" s="42">
        <f t="shared" si="4"/>
        <v>0.58000000000000007</v>
      </c>
      <c r="L14" s="42">
        <f t="shared" si="4"/>
        <v>0.58000000000000007</v>
      </c>
      <c r="M14" s="42">
        <f t="shared" si="4"/>
        <v>0.57999999999999996</v>
      </c>
      <c r="N14" s="42">
        <f t="shared" si="4"/>
        <v>0.57999999999999996</v>
      </c>
    </row>
    <row r="15" spans="1:14" ht="20.100000000000001" customHeight="1" x14ac:dyDescent="0.2">
      <c r="A15" s="14" t="s">
        <v>163</v>
      </c>
      <c r="B15" s="42">
        <f t="shared" ref="B15:N15" si="5">IFERROR(B11/B7,0)</f>
        <v>5.9437230683448451E-2</v>
      </c>
      <c r="C15" s="42">
        <f t="shared" si="5"/>
        <v>-5.7154656344610352E-3</v>
      </c>
      <c r="D15" s="42">
        <f t="shared" si="5"/>
        <v>7.444848720666368E-2</v>
      </c>
      <c r="E15" s="42">
        <f t="shared" si="5"/>
        <v>3.8045434149714112E-2</v>
      </c>
      <c r="F15" s="42">
        <f t="shared" si="5"/>
        <v>9.6474702327832285E-2</v>
      </c>
      <c r="G15" s="42">
        <f t="shared" si="5"/>
        <v>0.12395483263695908</v>
      </c>
      <c r="H15" s="42">
        <f t="shared" si="5"/>
        <v>0.11671059919402227</v>
      </c>
      <c r="I15" s="42">
        <f t="shared" si="5"/>
        <v>3.3972733267151542E-2</v>
      </c>
      <c r="J15" s="42">
        <f t="shared" si="5"/>
        <v>7.3748025220844463E-2</v>
      </c>
      <c r="K15" s="42">
        <f t="shared" si="5"/>
        <v>8.6814081660652964E-2</v>
      </c>
      <c r="L15" s="42">
        <f t="shared" si="5"/>
        <v>0.12188060695645477</v>
      </c>
      <c r="M15" s="42">
        <f t="shared" si="5"/>
        <v>0.15252427544522482</v>
      </c>
      <c r="N15" s="42">
        <f t="shared" si="5"/>
        <v>8.6035195912804174E-2</v>
      </c>
    </row>
  </sheetData>
  <conditionalFormatting sqref="B11:N11">
    <cfRule type="cellIs" dxfId="21" priority="1" operator="lessThan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"/>
  <sheetViews>
    <sheetView showGridLines="0" rightToLeft="1" workbookViewId="0">
      <pane ySplit="4" topLeftCell="A5" activePane="bottomLeft" state="frozen"/>
      <selection pane="bottomLeft"/>
    </sheetView>
  </sheetViews>
  <sheetFormatPr defaultRowHeight="14.25" x14ac:dyDescent="0.2"/>
  <cols>
    <col min="1" max="1" width="16" customWidth="1"/>
    <col min="2" max="2" width="20" customWidth="1"/>
    <col min="3" max="5" width="18" customWidth="1"/>
    <col min="6" max="6" width="20" customWidth="1"/>
  </cols>
  <sheetData>
    <row r="1" spans="1:6" ht="30" customHeight="1" x14ac:dyDescent="0.2">
      <c r="A1" s="1" t="s">
        <v>164</v>
      </c>
    </row>
    <row r="2" spans="1:6" ht="15.95" customHeight="1" x14ac:dyDescent="0.2">
      <c r="A2" s="2" t="s">
        <v>165</v>
      </c>
    </row>
    <row r="4" spans="1:6" ht="33.950000000000003" customHeight="1" x14ac:dyDescent="0.2">
      <c r="A4" s="13" t="s">
        <v>83</v>
      </c>
      <c r="B4" s="13" t="s">
        <v>166</v>
      </c>
      <c r="C4" s="13" t="s">
        <v>167</v>
      </c>
      <c r="D4" s="13" t="s">
        <v>168</v>
      </c>
      <c r="E4" s="13" t="s">
        <v>169</v>
      </c>
      <c r="F4" s="13" t="s">
        <v>170</v>
      </c>
    </row>
    <row r="5" spans="1:6" ht="20.100000000000001" customHeight="1" x14ac:dyDescent="0.2">
      <c r="A5" s="14" t="s">
        <v>84</v>
      </c>
      <c r="B5" s="43">
        <v>46053</v>
      </c>
      <c r="C5" s="40">
        <f>הכנסות!B11</f>
        <v>781584.89999999991</v>
      </c>
      <c r="D5" s="40">
        <f>-הוצאות!B14-'רווח והפסד'!B7*'הנחות ופרמטרים'!$B$6</f>
        <v>-622991.23559322022</v>
      </c>
      <c r="E5" s="40">
        <f t="shared" ref="E5:E16" si="0">C5+D5</f>
        <v>158593.66440677969</v>
      </c>
      <c r="F5" s="40">
        <f>'הנחות ופרמטרים'!$B$11+E5</f>
        <v>443593.66440677969</v>
      </c>
    </row>
    <row r="6" spans="1:6" ht="20.100000000000001" customHeight="1" x14ac:dyDescent="0.2">
      <c r="A6" s="18" t="s">
        <v>85</v>
      </c>
      <c r="B6" s="44">
        <v>46081</v>
      </c>
      <c r="C6" s="45">
        <f>הכנסות!C11</f>
        <v>687794.71199999994</v>
      </c>
      <c r="D6" s="45">
        <f>-הוצאות!C14-'רווח והפסד'!C7*'הנחות ופרמטרים'!$B$6</f>
        <v>-586208.2873220339</v>
      </c>
      <c r="E6" s="45">
        <f t="shared" si="0"/>
        <v>101586.42467796605</v>
      </c>
      <c r="F6" s="45">
        <f t="shared" ref="F6:F16" si="1">F5+E6</f>
        <v>545180.08908474573</v>
      </c>
    </row>
    <row r="7" spans="1:6" ht="20.100000000000001" customHeight="1" x14ac:dyDescent="0.2">
      <c r="A7" s="14" t="s">
        <v>86</v>
      </c>
      <c r="B7" s="43">
        <v>46112</v>
      </c>
      <c r="C7" s="40">
        <f>הכנסות!D11</f>
        <v>820664.14500000014</v>
      </c>
      <c r="D7" s="40">
        <f>-הוצאות!D14-'רווח והפסד'!D7*'הנחות ופרמטרים'!$B$6</f>
        <v>-643700.79737288144</v>
      </c>
      <c r="E7" s="40">
        <f t="shared" si="0"/>
        <v>176963.3476271187</v>
      </c>
      <c r="F7" s="40">
        <f t="shared" si="1"/>
        <v>722143.43671186443</v>
      </c>
    </row>
    <row r="8" spans="1:6" ht="20.100000000000001" customHeight="1" x14ac:dyDescent="0.2">
      <c r="A8" s="18" t="s">
        <v>87</v>
      </c>
      <c r="B8" s="44">
        <v>46142</v>
      </c>
      <c r="C8" s="45">
        <f>הכנסות!E11</f>
        <v>758137.35300000012</v>
      </c>
      <c r="D8" s="45">
        <f>-הוצאות!E14-'רווח והפסד'!E7*'הנחות ופרמטרים'!$B$6</f>
        <v>-618045.4985254237</v>
      </c>
      <c r="E8" s="45">
        <f t="shared" si="0"/>
        <v>140091.85447457642</v>
      </c>
      <c r="F8" s="45">
        <f t="shared" si="1"/>
        <v>862235.29118644085</v>
      </c>
    </row>
    <row r="9" spans="1:6" ht="20.100000000000001" customHeight="1" x14ac:dyDescent="0.2">
      <c r="A9" s="14" t="s">
        <v>88</v>
      </c>
      <c r="B9" s="43">
        <v>46173</v>
      </c>
      <c r="C9" s="40">
        <f>הכנסות!F11</f>
        <v>875375.08799999999</v>
      </c>
      <c r="D9" s="40">
        <f>-הוצאות!F14-'רווח והפסד'!F7*'הנחות ופרמטרים'!$B$6</f>
        <v>-670274.18386440678</v>
      </c>
      <c r="E9" s="40">
        <f t="shared" si="0"/>
        <v>205100.90413559321</v>
      </c>
      <c r="F9" s="40">
        <f t="shared" si="1"/>
        <v>1067336.1953220339</v>
      </c>
    </row>
    <row r="10" spans="1:6" ht="20.100000000000001" customHeight="1" x14ac:dyDescent="0.2">
      <c r="A10" s="18" t="s">
        <v>89</v>
      </c>
      <c r="B10" s="44">
        <v>46203</v>
      </c>
      <c r="C10" s="45">
        <f>הכנסות!G11</f>
        <v>945717.72899999993</v>
      </c>
      <c r="D10" s="45">
        <f>-הוצאות!G14-'רווח והפסד'!G7*'הנחות ופרמטרים'!$B$6</f>
        <v>-702111.39506779658</v>
      </c>
      <c r="E10" s="45">
        <f t="shared" si="0"/>
        <v>243606.33393220336</v>
      </c>
      <c r="F10" s="45">
        <f t="shared" si="1"/>
        <v>1310942.5292542372</v>
      </c>
    </row>
    <row r="11" spans="1:6" ht="20.100000000000001" customHeight="1" x14ac:dyDescent="0.2">
      <c r="A11" s="14" t="s">
        <v>90</v>
      </c>
      <c r="B11" s="43">
        <v>46234</v>
      </c>
      <c r="C11" s="40">
        <f>הכנסות!H11</f>
        <v>922270.18199999991</v>
      </c>
      <c r="D11" s="40">
        <f>-הוצאות!H14-'רווח והפסד'!H7*'הנחות ופרמטרים'!$B$6</f>
        <v>-690365.65799999994</v>
      </c>
      <c r="E11" s="40">
        <f t="shared" si="0"/>
        <v>231904.52399999998</v>
      </c>
      <c r="F11" s="40">
        <f t="shared" si="1"/>
        <v>1542847.0532542372</v>
      </c>
    </row>
    <row r="12" spans="1:6" ht="20.100000000000001" customHeight="1" x14ac:dyDescent="0.2">
      <c r="A12" s="18" t="s">
        <v>91</v>
      </c>
      <c r="B12" s="44">
        <v>46265</v>
      </c>
      <c r="C12" s="45">
        <f>הכנסות!I11</f>
        <v>797216.598</v>
      </c>
      <c r="D12" s="45">
        <f>-הוצאות!I14-'רווח והפסד'!I7*'הנחות ופרמטרים'!$B$6</f>
        <v>-652655.0603050848</v>
      </c>
      <c r="E12" s="45">
        <f t="shared" si="0"/>
        <v>144561.5376949152</v>
      </c>
      <c r="F12" s="45">
        <f t="shared" si="1"/>
        <v>1687408.5909491524</v>
      </c>
    </row>
    <row r="13" spans="1:6" ht="20.100000000000001" customHeight="1" x14ac:dyDescent="0.2">
      <c r="A13" s="14" t="s">
        <v>92</v>
      </c>
      <c r="B13" s="43">
        <v>46295</v>
      </c>
      <c r="C13" s="40">
        <f>הכנסות!J11</f>
        <v>851927.54100000008</v>
      </c>
      <c r="D13" s="40">
        <f>-הוצאות!J14-'רווח והפסד'!J7*'הנחות ופרמטרים'!$B$6</f>
        <v>-668728.44679661025</v>
      </c>
      <c r="E13" s="40">
        <f t="shared" si="0"/>
        <v>183199.09420338983</v>
      </c>
      <c r="F13" s="40">
        <f t="shared" si="1"/>
        <v>1870607.6851525423</v>
      </c>
    </row>
    <row r="14" spans="1:6" ht="20.100000000000001" customHeight="1" x14ac:dyDescent="0.2">
      <c r="A14" s="18" t="s">
        <v>93</v>
      </c>
      <c r="B14" s="44">
        <v>46326</v>
      </c>
      <c r="C14" s="45">
        <f>הכנסות!K11</f>
        <v>891006.78599999985</v>
      </c>
      <c r="D14" s="45">
        <f>-הוצאות!K14-'רווח והפסד'!K7*'הנחות ופרמטרים'!$B$6</f>
        <v>-689538.00857627112</v>
      </c>
      <c r="E14" s="45">
        <f t="shared" si="0"/>
        <v>201468.77742372872</v>
      </c>
      <c r="F14" s="45">
        <f t="shared" si="1"/>
        <v>2072076.462576271</v>
      </c>
    </row>
    <row r="15" spans="1:6" ht="20.100000000000001" customHeight="1" x14ac:dyDescent="0.2">
      <c r="A15" s="14" t="s">
        <v>94</v>
      </c>
      <c r="B15" s="43">
        <v>46356</v>
      </c>
      <c r="C15" s="40">
        <f>הכנסות!L11</f>
        <v>976981.125</v>
      </c>
      <c r="D15" s="40">
        <f>-הוצאות!L14-'רווח והפסד'!L7*'הנחות ופרמטרים'!$B$6</f>
        <v>-727039.04449152539</v>
      </c>
      <c r="E15" s="40">
        <f t="shared" si="0"/>
        <v>249942.08050847461</v>
      </c>
      <c r="F15" s="40">
        <f t="shared" si="1"/>
        <v>2322018.5430847458</v>
      </c>
    </row>
    <row r="16" spans="1:6" ht="20.100000000000001" customHeight="1" x14ac:dyDescent="0.2">
      <c r="A16" s="18" t="s">
        <v>95</v>
      </c>
      <c r="B16" s="44">
        <v>46387</v>
      </c>
      <c r="C16" s="45">
        <f>הכנסות!M11</f>
        <v>1094218.8599999999</v>
      </c>
      <c r="D16" s="45">
        <f>-הוצאות!M14-'רווח והפסד'!M7*'הנחות ופרמטרים'!$B$6</f>
        <v>-785867.72983050835</v>
      </c>
      <c r="E16" s="45">
        <f t="shared" si="0"/>
        <v>308351.13016949152</v>
      </c>
      <c r="F16" s="45">
        <f t="shared" si="1"/>
        <v>2630369.6732542375</v>
      </c>
    </row>
  </sheetData>
  <conditionalFormatting sqref="F5:F16">
    <cfRule type="cellIs" dxfId="20" priority="1" operator="lessThan">
      <formula>0</formula>
    </cfRule>
  </conditionalFormatting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ניתוח Pivot</vt:lpstr>
      <vt:lpstr>לוח בקרה</vt:lpstr>
      <vt:lpstr>חיפוש מהיר</vt:lpstr>
      <vt:lpstr>הנחות ופרמטרים</vt:lpstr>
      <vt:lpstr>מלאי לפי חנות</vt:lpstr>
      <vt:lpstr>סיכום חנויות</vt:lpstr>
      <vt:lpstr>הכנסות</vt:lpstr>
      <vt:lpstr>הוצאות</vt:lpstr>
      <vt:lpstr>רווח והפסד</vt:lpstr>
      <vt:lpstr>תזרים מזומנים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Gal Elnekave</cp:lastModifiedBy>
  <dcterms:created xsi:type="dcterms:W3CDTF">2026-07-28T20:59:11Z</dcterms:created>
  <dcterms:modified xsi:type="dcterms:W3CDTF">2026-07-28T20:59:18Z</dcterms:modified>
</cp:coreProperties>
</file>