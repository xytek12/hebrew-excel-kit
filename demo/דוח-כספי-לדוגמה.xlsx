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3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לוח בקרה" sheetId="1" state="visible" r:id="rId1"/>
    <sheet xmlns:r="http://schemas.openxmlformats.org/officeDocument/2006/relationships" name="הנחות ופרמטרים" sheetId="2" state="visible" r:id="rId2"/>
    <sheet xmlns:r="http://schemas.openxmlformats.org/officeDocument/2006/relationships" name="מלאי לפי חנות" sheetId="3" state="visible" r:id="rId3"/>
    <sheet xmlns:r="http://schemas.openxmlformats.org/officeDocument/2006/relationships" name="סיכום חנויות" sheetId="4" state="visible" r:id="rId4"/>
    <sheet xmlns:r="http://schemas.openxmlformats.org/officeDocument/2006/relationships" name="הכנסות" sheetId="5" state="visible" r:id="rId5"/>
    <sheet xmlns:r="http://schemas.openxmlformats.org/officeDocument/2006/relationships" name="הוצאות" sheetId="6" state="visible" r:id="rId6"/>
    <sheet xmlns:r="http://schemas.openxmlformats.org/officeDocument/2006/relationships" name="רווח והפסד" sheetId="7" state="visible" r:id="rId7"/>
    <sheet xmlns:r="http://schemas.openxmlformats.org/officeDocument/2006/relationships" name="תזרים מזומנים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0.0%"/>
    <numFmt numFmtId="165" formatCode="#,##0\ [$₪-40D]"/>
    <numFmt numFmtId="166" formatCode="0.0"/>
    <numFmt numFmtId="167" formatCode="#,##0.00\ [$₪-40D]"/>
    <numFmt numFmtId="168" formatCode="0.000000"/>
    <numFmt numFmtId="169" formatCode="#,##0.00\ [$₪-40D];[Red]\(#,##0.00\ [$₪-40D]\)"/>
    <numFmt numFmtId="170" formatCode="yyyy-mm-dd"/>
    <numFmt numFmtId="171" formatCode="DD/MM/YYYY"/>
  </numFmts>
  <fonts count="11">
    <font>
      <name val="Calibri"/>
      <family val="2"/>
      <color theme="1"/>
      <sz val="11"/>
      <scheme val="minor"/>
    </font>
    <font>
      <name val="Arial"/>
      <b val="1"/>
      <color rgb="001F3A5C"/>
      <sz val="18"/>
    </font>
    <font>
      <name val="Arial"/>
      <color rgb="006B7280"/>
      <sz val="10"/>
    </font>
    <font>
      <name val="Arial"/>
      <b val="1"/>
      <color rgb="00FFFFFF"/>
      <sz val="11"/>
    </font>
    <font>
      <name val="Arial"/>
      <color rgb="001A1A1A"/>
      <sz val="11"/>
    </font>
    <font>
      <name val="Arial"/>
      <b val="1"/>
      <color rgb="001F3A5C"/>
      <sz val="12"/>
    </font>
    <font>
      <name val="Arial"/>
      <i val="1"/>
      <color rgb="006B7280"/>
      <sz val="9"/>
    </font>
    <font>
      <name val="Arial"/>
      <b val="1"/>
      <color rgb="001F3A5C"/>
      <sz val="11"/>
    </font>
    <font>
      <name val="Arial"/>
      <b val="1"/>
      <color rgb="006B7280"/>
      <sz val="10"/>
    </font>
    <font>
      <name val="Arial"/>
      <b val="1"/>
      <color rgb="001F3A5C"/>
      <sz val="16"/>
    </font>
    <font>
      <name val="Arial"/>
      <color rgb="006B7280"/>
      <sz val="9"/>
    </font>
  </fonts>
  <fills count="5">
    <fill>
      <patternFill/>
    </fill>
    <fill>
      <patternFill patternType="gray125"/>
    </fill>
    <fill>
      <patternFill patternType="solid">
        <fgColor rgb="001F3A5C"/>
      </patternFill>
    </fill>
    <fill>
      <patternFill patternType="solid">
        <fgColor rgb="00F7F9FC"/>
      </patternFill>
    </fill>
    <fill>
      <patternFill patternType="solid">
        <fgColor rgb="00E8EDF4"/>
      </patternFill>
    </fill>
  </fills>
  <borders count="3">
    <border>
      <left/>
      <right/>
      <top/>
      <bottom/>
      <diagonal/>
    </border>
    <border>
      <bottom style="thin">
        <color rgb="00D8DEE8"/>
      </bottom>
    </border>
    <border>
      <top style="thin">
        <color rgb="001F3A5C"/>
      </top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0" borderId="0" applyAlignment="1" pivotButton="0" quotePrefix="0" xfId="0">
      <alignment horizontal="right" vertical="center" readingOrder="2"/>
    </xf>
    <xf numFmtId="0" fontId="2" fillId="0" borderId="0" applyAlignment="1" pivotButton="0" quotePrefix="0" xfId="0">
      <alignment horizontal="right" vertical="center" readingOrder="2"/>
    </xf>
    <xf numFmtId="0" fontId="5" fillId="4" borderId="0" applyAlignment="1" pivotButton="0" quotePrefix="0" xfId="0">
      <alignment horizontal="right" vertical="center" readingOrder="2"/>
    </xf>
    <xf numFmtId="0" fontId="0" fillId="4" borderId="0" applyAlignment="1" pivotButton="0" quotePrefix="0" xfId="0">
      <alignment horizontal="right" vertical="center" readingOrder="2"/>
    </xf>
    <xf numFmtId="0" fontId="8" fillId="4" borderId="0" applyAlignment="1" pivotButton="0" quotePrefix="0" xfId="0">
      <alignment horizontal="centerContinuous" vertical="center" readingOrder="2"/>
    </xf>
    <xf numFmtId="0" fontId="0" fillId="4" borderId="0" applyAlignment="1" pivotButton="0" quotePrefix="0" xfId="0">
      <alignment horizontal="centerContinuous" vertical="center" readingOrder="2"/>
    </xf>
    <xf numFmtId="165" fontId="9" fillId="4" borderId="0" applyAlignment="1" pivotButton="0" quotePrefix="0" xfId="0">
      <alignment horizontal="centerContinuous" vertical="center" readingOrder="2"/>
    </xf>
    <xf numFmtId="3" fontId="9" fillId="4" borderId="0" applyAlignment="1" pivotButton="0" quotePrefix="0" xfId="0">
      <alignment horizontal="centerContinuous" vertical="center" readingOrder="2"/>
    </xf>
    <xf numFmtId="0" fontId="10" fillId="4" borderId="0" applyAlignment="1" pivotButton="0" quotePrefix="0" xfId="0">
      <alignment horizontal="centerContinuous" vertical="center" readingOrder="2"/>
    </xf>
    <xf numFmtId="164" fontId="9" fillId="4" borderId="0" applyAlignment="1" pivotButton="0" quotePrefix="0" xfId="0">
      <alignment horizontal="centerContinuous" vertical="center" readingOrder="2"/>
    </xf>
    <xf numFmtId="0" fontId="4" fillId="0" borderId="0" applyAlignment="1" pivotButton="0" quotePrefix="0" xfId="0">
      <alignment horizontal="right" vertical="center" readingOrder="2"/>
    </xf>
    <xf numFmtId="0" fontId="0" fillId="0" borderId="0" applyAlignment="1" pivotButton="0" quotePrefix="0" xfId="0">
      <alignment horizontal="right" vertical="center" readingOrder="2"/>
    </xf>
    <xf numFmtId="0" fontId="3" fillId="2" borderId="0" applyAlignment="1" pivotButton="0" quotePrefix="0" xfId="0">
      <alignment horizontal="center" vertical="center" wrapText="1" readingOrder="2"/>
    </xf>
    <xf numFmtId="0" fontId="4" fillId="0" borderId="1" applyAlignment="1" pivotButton="0" quotePrefix="0" xfId="0">
      <alignment horizontal="right" vertical="center" readingOrder="2"/>
    </xf>
    <xf numFmtId="0" fontId="4" fillId="0" borderId="1" applyAlignment="1" pivotButton="0" quotePrefix="0" xfId="0">
      <alignment horizontal="center" vertical="center" readingOrder="2"/>
    </xf>
    <xf numFmtId="3" fontId="4" fillId="0" borderId="1" applyAlignment="1" pivotButton="0" quotePrefix="0" xfId="0">
      <alignment horizontal="center" vertical="center" readingOrder="2"/>
    </xf>
    <xf numFmtId="166" fontId="4" fillId="0" borderId="1" applyAlignment="1" pivotButton="0" quotePrefix="0" xfId="0">
      <alignment horizontal="center" vertical="center" readingOrder="2"/>
    </xf>
    <xf numFmtId="0" fontId="4" fillId="3" borderId="1" applyAlignment="1" pivotButton="0" quotePrefix="0" xfId="0">
      <alignment horizontal="right" vertical="center" readingOrder="2"/>
    </xf>
    <xf numFmtId="0" fontId="4" fillId="3" borderId="1" applyAlignment="1" pivotButton="0" quotePrefix="0" xfId="0">
      <alignment horizontal="center" vertical="center" readingOrder="2"/>
    </xf>
    <xf numFmtId="3" fontId="4" fillId="3" borderId="1" applyAlignment="1" pivotButton="0" quotePrefix="0" xfId="0">
      <alignment horizontal="center" vertical="center" readingOrder="2"/>
    </xf>
    <xf numFmtId="166" fontId="4" fillId="3" borderId="1" applyAlignment="1" pivotButton="0" quotePrefix="0" xfId="0">
      <alignment horizontal="center" vertical="center" readingOrder="2"/>
    </xf>
    <xf numFmtId="164" fontId="4" fillId="0" borderId="1" applyAlignment="1" pivotButton="0" quotePrefix="0" xfId="0">
      <alignment horizontal="center" vertical="center" readingOrder="2"/>
    </xf>
    <xf numFmtId="164" fontId="4" fillId="3" borderId="1" applyAlignment="1" pivotButton="0" quotePrefix="0" xfId="0">
      <alignment horizontal="center" vertical="center" readingOrder="2"/>
    </xf>
    <xf numFmtId="165" fontId="4" fillId="0" borderId="1" applyAlignment="1" pivotButton="0" quotePrefix="0" xfId="0">
      <alignment horizontal="center" vertical="center" readingOrder="2"/>
    </xf>
    <xf numFmtId="2" fontId="4" fillId="0" borderId="1" applyAlignment="1" pivotButton="0" quotePrefix="0" xfId="0">
      <alignment horizontal="right" vertical="center" readingOrder="2"/>
    </xf>
    <xf numFmtId="0" fontId="6" fillId="0" borderId="0" applyAlignment="1" pivotButton="0" quotePrefix="0" xfId="0">
      <alignment horizontal="right" vertical="center" readingOrder="2"/>
    </xf>
    <xf numFmtId="167" fontId="4" fillId="0" borderId="1" applyAlignment="1" pivotButton="0" quotePrefix="0" xfId="0">
      <alignment horizontal="right" vertical="center" readingOrder="2"/>
    </xf>
    <xf numFmtId="165" fontId="4" fillId="0" borderId="1" applyAlignment="1" pivotButton="0" quotePrefix="0" xfId="0">
      <alignment horizontal="right" vertical="center" readingOrder="2"/>
    </xf>
    <xf numFmtId="168" fontId="4" fillId="0" borderId="1" applyAlignment="1" pivotButton="0" quotePrefix="0" xfId="0">
      <alignment horizontal="center" vertical="center" readingOrder="2"/>
    </xf>
    <xf numFmtId="167" fontId="4" fillId="3" borderId="1" applyAlignment="1" pivotButton="0" quotePrefix="0" xfId="0">
      <alignment horizontal="right" vertical="center" readingOrder="2"/>
    </xf>
    <xf numFmtId="165" fontId="4" fillId="3" borderId="1" applyAlignment="1" pivotButton="0" quotePrefix="0" xfId="0">
      <alignment horizontal="right" vertical="center" readingOrder="2"/>
    </xf>
    <xf numFmtId="2" fontId="4" fillId="0" borderId="1" applyAlignment="1" pivotButton="0" quotePrefix="0" xfId="0">
      <alignment horizontal="center" vertical="center" readingOrder="2"/>
    </xf>
    <xf numFmtId="165" fontId="4" fillId="3" borderId="1" applyAlignment="1" pivotButton="0" quotePrefix="0" xfId="0">
      <alignment horizontal="center" vertical="center" readingOrder="2"/>
    </xf>
    <xf numFmtId="2" fontId="4" fillId="3" borderId="1" applyAlignment="1" pivotButton="0" quotePrefix="0" xfId="0">
      <alignment horizontal="center" vertical="center" readingOrder="2"/>
    </xf>
    <xf numFmtId="0" fontId="7" fillId="4" borderId="2" applyAlignment="1" pivotButton="0" quotePrefix="0" xfId="0">
      <alignment horizontal="right" vertical="center" readingOrder="2"/>
    </xf>
    <xf numFmtId="165" fontId="7" fillId="4" borderId="2" applyAlignment="1" pivotButton="0" quotePrefix="0" xfId="0">
      <alignment horizontal="right" vertical="center" readingOrder="2"/>
    </xf>
    <xf numFmtId="3" fontId="7" fillId="4" borderId="2" applyAlignment="1" pivotButton="0" quotePrefix="0" xfId="0">
      <alignment horizontal="right" vertical="center" readingOrder="2"/>
    </xf>
    <xf numFmtId="169" fontId="4" fillId="0" borderId="1" applyAlignment="1" pivotButton="0" quotePrefix="0" xfId="0">
      <alignment horizontal="right" vertical="center" readingOrder="2"/>
    </xf>
    <xf numFmtId="169" fontId="7" fillId="4" borderId="2" applyAlignment="1" pivotButton="0" quotePrefix="0" xfId="0">
      <alignment horizontal="right" vertical="center" readingOrder="2"/>
    </xf>
    <xf numFmtId="164" fontId="4" fillId="0" borderId="1" applyAlignment="1" pivotButton="0" quotePrefix="0" xfId="0">
      <alignment horizontal="right" vertical="center" readingOrder="2"/>
    </xf>
    <xf numFmtId="171" fontId="4" fillId="0" borderId="1" applyAlignment="1" pivotButton="0" quotePrefix="0" xfId="0">
      <alignment horizontal="center" vertical="center" readingOrder="2"/>
    </xf>
    <xf numFmtId="171" fontId="4" fillId="3" borderId="1" applyAlignment="1" pivotButton="0" quotePrefix="0" xfId="0">
      <alignment horizontal="center" vertical="center" readingOrder="2"/>
    </xf>
    <xf numFmtId="169" fontId="4" fillId="3" borderId="1" applyAlignment="1" pivotButton="0" quotePrefix="0" xfId="0">
      <alignment horizontal="right" vertical="center" readingOrder="2"/>
    </xf>
  </cellXfs>
  <cellStyles count="1">
    <cellStyle name="Normal" xfId="0" builtinId="0" hidden="0"/>
  </cellStyles>
  <dxfs count="5">
    <dxf>
      <font>
        <name val="Arial"/>
        <b val="1"/>
        <color rgb="00DC2626"/>
        <sz val="11"/>
      </font>
      <fill>
        <patternFill patternType="solid">
          <fgColor rgb="00FDE8E8"/>
        </patternFill>
      </fill>
    </dxf>
    <dxf>
      <font>
        <name val="Arial"/>
        <b val="1"/>
        <color rgb="00D97706"/>
        <sz val="11"/>
      </font>
      <fill>
        <patternFill patternType="solid">
          <fgColor rgb="00FEF3E2"/>
        </patternFill>
      </fill>
    </dxf>
    <dxf>
      <font>
        <name val="Arial"/>
        <b val="1"/>
        <color rgb="0016A34A"/>
        <sz val="11"/>
      </font>
      <fill>
        <patternFill patternType="solid">
          <fgColor rgb="00E9F7EF"/>
        </patternFill>
      </fill>
    </dxf>
    <dxf>
      <font>
        <name val="Arial"/>
        <b val="1"/>
        <color rgb="002563EB"/>
        <sz val="11"/>
      </font>
      <fill>
        <patternFill patternType="solid">
          <fgColor rgb="00E8F0FE"/>
        </patternFill>
      </fill>
    </dxf>
    <dxf>
      <font>
        <name val="Arial"/>
        <b val="1"/>
        <color rgb="00DC2626"/>
        <sz val="11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מכירות חודשיות לפי חנות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'סיכום חנויות'!B4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'סיכום חנויות'!$A$5:$A$10</f>
            </numRef>
          </cat>
          <val>
            <numRef>
              <f>'סיכום חנויות'!$B$5:$B$10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רווח תפעולי לפי חודש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'רווח והפסד'!$B$4:$M$4</f>
            </numRef>
          </cat>
          <val>
            <numRef>
              <f>'רווח והפסד'!$B$11:$M$11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10</col>
      <colOff>0</colOff>
      <row>3</row>
      <rowOff>0</rowOff>
    </from>
    <ext cx="648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25</row>
      <rowOff>0</rowOff>
    </from>
    <ext cx="648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טבלת_מלאי" displayName="טבלת_מלאי" ref="A4:N76" headerRowCount="1">
  <autoFilter ref="A4:N76"/>
  <tableColumns count="14">
    <tableColumn id="1" name="מק״ט"/>
    <tableColumn id="2" name="פריט"/>
    <tableColumn id="3" name="מידה"/>
    <tableColumn id="4" name="קטגוריה"/>
    <tableColumn id="5" name="חנות"/>
    <tableColumn id="6" name="מלאי (יח׳)"/>
    <tableColumn id="7" name="מכירות בחודש (יח׳)"/>
    <tableColumn id="8" name="שבועות כיסוי"/>
    <tableColumn id="9" name="סטטוס"/>
    <tableColumn id="10" name="מחיר מכירה"/>
    <tableColumn id="11" name="עלות ליחידה"/>
    <tableColumn id="12" name="מכירות בחודש (₪)"/>
    <tableColumn id="13" name="שווי מלאי (₪)"/>
    <tableColumn id="14" name="מפתח מיון"/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טבלת_חנויות" displayName="טבלת_חנויות" ref="A4:H10" headerRowCount="1">
  <autoFilter ref="A4:H10"/>
  <tableColumns count="8">
    <tableColumn id="1" name="חנות"/>
    <tableColumn id="2" name="מכירות בחודש (₪)"/>
    <tableColumn id="3" name="שווי מלאי (₪)"/>
    <tableColumn id="4" name="פריטים שאזלו"/>
    <tableColumn id="5" name="פריטים קריטיים"/>
    <tableColumn id="6" name="שבועות כיסוי ממוצע"/>
    <tableColumn id="7" name="סבב מלאי חודשי"/>
    <tableColumn id="8" name="דירוג מכירות"/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טבלת_תזרים" displayName="טבלת_תזרים" ref="A4:F16" headerRowCount="1">
  <autoFilter ref="A4:F16"/>
  <tableColumns count="6">
    <tableColumn id="1" name="חודש"/>
    <tableColumn id="2" name="תאריך סוף חודש"/>
    <tableColumn id="3" name="תקבולים"/>
    <tableColumn id="4" name="תשלומים"/>
    <tableColumn id="5" name="תזרים נטו"/>
    <tableColumn id="6" name="יתרה בקופה"/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4"/>
  <sheetViews>
    <sheetView showGridLines="0" rightToLeft="1"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 ht="30" customHeight="1">
      <c r="A1" s="1" t="inlineStr">
        <is>
          <t>אופנת גלים בע״מ — לוח בקרה 2026</t>
        </is>
      </c>
    </row>
    <row r="2" ht="16" customHeight="1">
      <c r="A2" s="2" t="inlineStr">
        <is>
          <t>נתוני דמה. כל המספרים מתעדכנים אוטומטית מהגיליונות האחרים.</t>
        </is>
      </c>
    </row>
    <row r="4" ht="24" customHeight="1">
      <c r="A4" s="3" t="inlineStr">
        <is>
          <t>המספרים החשובים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</row>
    <row r="6" ht="18" customHeight="1">
      <c r="A6" s="5" t="inlineStr">
        <is>
          <t>מכירות בחודש</t>
        </is>
      </c>
      <c r="B6" s="6" t="n"/>
      <c r="C6" s="6" t="n"/>
      <c r="D6" s="5" t="inlineStr">
        <is>
          <t>שווי המלאי</t>
        </is>
      </c>
      <c r="E6" s="6" t="n"/>
      <c r="F6" s="6" t="n"/>
      <c r="G6" s="5" t="inlineStr">
        <is>
          <t>פריטים בהתראה</t>
        </is>
      </c>
      <c r="H6" s="6" t="n"/>
      <c r="I6" s="6" t="n"/>
    </row>
    <row r="7" ht="28" customHeight="1">
      <c r="A7" s="7">
        <f>'סיכום חנויות'!B11</f>
        <v/>
      </c>
      <c r="B7" s="6" t="n"/>
      <c r="C7" s="6" t="n"/>
      <c r="D7" s="7">
        <f>'סיכום חנויות'!C11</f>
        <v/>
      </c>
      <c r="E7" s="6" t="n"/>
      <c r="F7" s="6" t="n"/>
      <c r="G7" s="8">
        <f>'סיכום חנויות'!D11+'סיכום חנויות'!E11</f>
        <v/>
      </c>
      <c r="H7" s="6" t="n"/>
      <c r="I7" s="6" t="n"/>
    </row>
    <row r="8" ht="16" customHeight="1">
      <c r="A8" s="9" t="inlineStr">
        <is>
          <t>כל 6 החנויות יחד</t>
        </is>
      </c>
      <c r="B8" s="6" t="n"/>
      <c r="C8" s="6" t="n"/>
      <c r="D8" s="9" t="inlineStr">
        <is>
          <t>לפי מחיר עלות</t>
        </is>
      </c>
      <c r="E8" s="6" t="n"/>
      <c r="F8" s="6" t="n"/>
      <c r="G8" s="9" t="inlineStr">
        <is>
          <t>אזלו או קריטיים</t>
        </is>
      </c>
      <c r="H8" s="6" t="n"/>
      <c r="I8" s="6" t="n"/>
    </row>
    <row r="10" ht="18" customHeight="1">
      <c r="A10" s="5" t="inlineStr">
        <is>
          <t>רווח תפעולי שנתי</t>
        </is>
      </c>
      <c r="B10" s="6" t="n"/>
      <c r="C10" s="6" t="n"/>
      <c r="D10" s="5" t="inlineStr">
        <is>
          <t>שיעור רווח גולמי</t>
        </is>
      </c>
      <c r="E10" s="6" t="n"/>
      <c r="F10" s="6" t="n"/>
      <c r="G10" s="5" t="inlineStr">
        <is>
          <t>מזומן בסוף השנה</t>
        </is>
      </c>
      <c r="H10" s="6" t="n"/>
      <c r="I10" s="6" t="n"/>
    </row>
    <row r="11" ht="28" customHeight="1">
      <c r="A11" s="7">
        <f>'רווח והפסד'!N11</f>
        <v/>
      </c>
      <c r="B11" s="6" t="n"/>
      <c r="C11" s="6" t="n"/>
      <c r="D11" s="10">
        <f>'רווח והפסד'!N9/'רווח והפסד'!N7</f>
        <v/>
      </c>
      <c r="E11" s="6" t="n"/>
      <c r="F11" s="6" t="n"/>
      <c r="G11" s="7">
        <f>'תזרים מזומנים'!F16</f>
        <v/>
      </c>
      <c r="H11" s="6" t="n"/>
      <c r="I11" s="6" t="n"/>
    </row>
    <row r="12" ht="16" customHeight="1">
      <c r="A12" s="9" t="inlineStr">
        <is>
          <t>אחרי כל ההוצאות</t>
        </is>
      </c>
      <c r="B12" s="6" t="n"/>
      <c r="C12" s="6" t="n"/>
      <c r="D12" s="9" t="inlineStr">
        <is>
          <t>מה נשאר אחרי עלות הסחורה</t>
        </is>
      </c>
      <c r="E12" s="6" t="n"/>
      <c r="F12" s="6" t="n"/>
      <c r="G12" s="9" t="inlineStr">
        <is>
          <t>יתרה צפויה בקופה</t>
        </is>
      </c>
      <c r="H12" s="6" t="n"/>
      <c r="I12" s="6" t="n"/>
    </row>
    <row r="14" ht="24" customHeight="1">
      <c r="A14" s="3" t="inlineStr">
        <is>
          <t>מה חשוב לדעת</t>
        </is>
      </c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</row>
    <row r="16" ht="20" customHeight="1">
      <c r="A16" s="11">
        <f>"1. החנות המובילה: "&amp;INDEX('סיכום חנויות'!$A$5:$A$10,MATCH(MAX('סיכום חנויות'!$B$5:$B$10),'סיכום חנויות'!$B$5:$B$10,0))&amp;" — "&amp;TEXT(MAX('סיכום חנויות'!$B$5:$B$10),"#,##0")&amp;" ש""ח בחודש."</f>
        <v/>
      </c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</row>
    <row r="17" ht="20" customHeight="1">
      <c r="A17" s="11">
        <f>"2. החנות החלשה ביותר: "&amp;INDEX('סיכום חנויות'!$A$5:$A$10,MATCH(MIN('סיכום חנויות'!$B$5:$B$10),'סיכום חנויות'!$B$5:$B$10,0))&amp;" — "&amp;TEXT(MIN('סיכום חנויות'!$B$5:$B$10),"#,##0")&amp;" ש""ח בחודש. פער של "&amp;TEXT(MAX('סיכום חנויות'!$B$5:$B$10)/MIN('סיכום חנויות'!$B$5:$B$10),"0.0")&amp;" מהחנות המובילה."</f>
        <v/>
      </c>
      <c r="B17" s="12" t="n"/>
      <c r="C17" s="12" t="n"/>
      <c r="D17" s="12" t="n"/>
      <c r="E17" s="12" t="n"/>
      <c r="F17" s="12" t="n"/>
      <c r="G17" s="12" t="n"/>
      <c r="H17" s="12" t="n"/>
      <c r="I17" s="12" t="n"/>
      <c r="J17" s="12" t="n"/>
      <c r="K17" s="12" t="n"/>
      <c r="L17" s="12" t="n"/>
      <c r="M17" s="12" t="n"/>
      <c r="N17" s="12" t="n"/>
    </row>
    <row r="18" ht="20" customHeight="1">
      <c r="A18" s="11">
        <f>"3. הפריט שנגמר הכי מהר: "&amp;INDEX('מלאי לפי חנות'!$B$5:$B$76,MATCH(MIN('מלאי לפי חנות'!$N$5:$N$76),'מלאי לפי חנות'!$N$5:$N$76,0))&amp;" מידה "&amp;INDEX('מלאי לפי חנות'!$C$5:$C$76,MATCH(MIN('מלאי לפי חנות'!$N$5:$N$76),'מלאי לפי חנות'!$N$5:$N$76,0))&amp;" ב"&amp;INDEX('מלאי לפי חנות'!$E$5:$E$76,MATCH(MIN('מלאי לפי חנות'!$N$5:$N$76),'מלאי לפי חנות'!$N$5:$N$76,0))&amp;" — נשארו "&amp;TEXT(MIN('מלאי לפי חנות'!$H$5:$H$76),"0.0")&amp;" שבועות מלאי."</f>
        <v/>
      </c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2" t="n"/>
      <c r="M18" s="12" t="n"/>
      <c r="N18" s="12" t="n"/>
    </row>
    <row r="19" ht="20" customHeight="1">
      <c r="A19" s="11">
        <f>"4. "&amp;TEXT(COUNTIF('מלאי לפי חנות'!$I$5:$I$76,"אזל")+COUNTIF('מלאי לפי חנות'!$I$5:$I$76,"קריטי"),"0")&amp;" פריטים דורשים הזמנה מיידית, ו־"&amp;TEXT(COUNTIF('מלאי לפי חנות'!$I$5:$I$76,"נמוך"),"0")&amp;" פריטים מתקרבים לחוסר."</f>
        <v/>
      </c>
      <c r="B19" s="12" t="n"/>
      <c r="C19" s="12" t="n"/>
      <c r="D19" s="12" t="n"/>
      <c r="E19" s="12" t="n"/>
      <c r="F19" s="12" t="n"/>
      <c r="G19" s="12" t="n"/>
      <c r="H19" s="12" t="n"/>
      <c r="I19" s="12" t="n"/>
      <c r="J19" s="12" t="n"/>
      <c r="K19" s="12" t="n"/>
      <c r="L19" s="12" t="n"/>
      <c r="M19" s="12" t="n"/>
      <c r="N19" s="12" t="n"/>
    </row>
    <row r="20" ht="20" customHeight="1">
      <c r="A20" s="11">
        <f>"5. "&amp;TEXT(SUMIF('מלאי לפי חנות'!$I$5:$I$76,"עודף",'מלאי לפי חנות'!$M$5:$M$76),"#,##0")&amp;" ש""ח תקועים במלאי עודף — "&amp;TEXT(SUMIF('מלאי לפי חנות'!$I$5:$I$76,"עודף",'מלאי לפי חנות'!$M$5:$M$76)/SUM('מלאי לפי חנות'!$M$5:$M$76),"0%")&amp;" מכלל המלאי."</f>
        <v/>
      </c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</row>
    <row r="21" ht="20" customHeight="1">
      <c r="A21" s="11">
        <f>"6. הרווח התפעולי הוא "&amp;TEXT('רווח והפסד'!N11/'רווח והפסד'!N7,"0.0%")&amp;" מההכנסות. "&amp;IF('רווח והפסד'!N11&lt;0,"החברה מפסידה.",IF('רווח והפסד'!N11/'רווח והפסד'!N7&lt;0.05,"זה שולי — כל ירידה במכירות תמחק אותו.","זה בריא."))</f>
        <v/>
      </c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</row>
    <row r="23" ht="24" customHeight="1">
      <c r="A23" s="3" t="inlineStr">
        <is>
          <t>התראות מלאי — 10 הפריטים הדחופים ביותר</t>
        </is>
      </c>
      <c r="B23" s="4" t="n"/>
      <c r="C23" s="4" t="n"/>
      <c r="D23" s="4" t="n"/>
      <c r="E23" s="4" t="n"/>
      <c r="F23" s="4" t="n"/>
      <c r="G23" s="4" t="n"/>
      <c r="H23" s="4" t="n"/>
      <c r="I23" s="4" t="n"/>
    </row>
    <row r="24" ht="32" customHeight="1">
      <c r="A24" s="13" t="inlineStr">
        <is>
          <t>חנות</t>
        </is>
      </c>
      <c r="B24" s="13" t="inlineStr">
        <is>
          <t>מק״ט</t>
        </is>
      </c>
      <c r="C24" s="13" t="inlineStr">
        <is>
          <t>פריט</t>
        </is>
      </c>
      <c r="D24" s="13" t="inlineStr">
        <is>
          <t>מידה</t>
        </is>
      </c>
      <c r="E24" s="13" t="inlineStr">
        <is>
          <t>מלאי (יח׳)</t>
        </is>
      </c>
      <c r="F24" s="13" t="inlineStr">
        <is>
          <t>שבועות כיסוי</t>
        </is>
      </c>
      <c r="G24" s="13" t="inlineStr">
        <is>
          <t>סטטוס</t>
        </is>
      </c>
    </row>
    <row r="25" ht="20" customHeight="1">
      <c r="A25" s="14">
        <f>INDEX('מלאי לפי חנות'!$E$5:$E$76,MATCH(SMALL('מלאי לפי חנות'!$N$5:$N$76,1),'מלאי לפי חנות'!$N$5:$N$76,0))</f>
        <v/>
      </c>
      <c r="B25" s="15">
        <f>INDEX('מלאי לפי חנות'!$A$5:$A$76,MATCH(SMALL('מלאי לפי חנות'!$N$5:$N$76,1),'מלאי לפי חנות'!$N$5:$N$76,0))</f>
        <v/>
      </c>
      <c r="C25" s="14">
        <f>INDEX('מלאי לפי חנות'!$B$5:$B$76,MATCH(SMALL('מלאי לפי חנות'!$N$5:$N$76,1),'מלאי לפי חנות'!$N$5:$N$76,0))</f>
        <v/>
      </c>
      <c r="D25" s="15">
        <f>INDEX('מלאי לפי חנות'!$C$5:$C$76,MATCH(SMALL('מלאי לפי חנות'!$N$5:$N$76,1),'מלאי לפי חנות'!$N$5:$N$76,0))</f>
        <v/>
      </c>
      <c r="E25" s="16">
        <f>INDEX('מלאי לפי חנות'!$F$5:$F$76,MATCH(SMALL('מלאי לפי חנות'!$N$5:$N$76,1),'מלאי לפי חנות'!$N$5:$N$76,0))</f>
        <v/>
      </c>
      <c r="F25" s="17">
        <f>INDEX('מלאי לפי חנות'!$H$5:$H$76,MATCH(SMALL('מלאי לפי חנות'!$N$5:$N$76,1),'מלאי לפי חנות'!$N$5:$N$76,0))</f>
        <v/>
      </c>
      <c r="G25" s="15">
        <f>INDEX('מלאי לפי חנות'!$I$5:$I$76,MATCH(SMALL('מלאי לפי חנות'!$N$5:$N$76,1),'מלאי לפי חנות'!$N$5:$N$76,0))</f>
        <v/>
      </c>
    </row>
    <row r="26" ht="20" customHeight="1">
      <c r="A26" s="18">
        <f>INDEX('מלאי לפי חנות'!$E$5:$E$76,MATCH(SMALL('מלאי לפי חנות'!$N$5:$N$76,2),'מלאי לפי חנות'!$N$5:$N$76,0))</f>
        <v/>
      </c>
      <c r="B26" s="19">
        <f>INDEX('מלאי לפי חנות'!$A$5:$A$76,MATCH(SMALL('מלאי לפי חנות'!$N$5:$N$76,2),'מלאי לפי חנות'!$N$5:$N$76,0))</f>
        <v/>
      </c>
      <c r="C26" s="18">
        <f>INDEX('מלאי לפי חנות'!$B$5:$B$76,MATCH(SMALL('מלאי לפי חנות'!$N$5:$N$76,2),'מלאי לפי חנות'!$N$5:$N$76,0))</f>
        <v/>
      </c>
      <c r="D26" s="19">
        <f>INDEX('מלאי לפי חנות'!$C$5:$C$76,MATCH(SMALL('מלאי לפי חנות'!$N$5:$N$76,2),'מלאי לפי חנות'!$N$5:$N$76,0))</f>
        <v/>
      </c>
      <c r="E26" s="20">
        <f>INDEX('מלאי לפי חנות'!$F$5:$F$76,MATCH(SMALL('מלאי לפי חנות'!$N$5:$N$76,2),'מלאי לפי חנות'!$N$5:$N$76,0))</f>
        <v/>
      </c>
      <c r="F26" s="21">
        <f>INDEX('מלאי לפי חנות'!$H$5:$H$76,MATCH(SMALL('מלאי לפי חנות'!$N$5:$N$76,2),'מלאי לפי חנות'!$N$5:$N$76,0))</f>
        <v/>
      </c>
      <c r="G26" s="19">
        <f>INDEX('מלאי לפי חנות'!$I$5:$I$76,MATCH(SMALL('מלאי לפי חנות'!$N$5:$N$76,2),'מלאי לפי חנות'!$N$5:$N$76,0))</f>
        <v/>
      </c>
    </row>
    <row r="27" ht="20" customHeight="1">
      <c r="A27" s="14">
        <f>INDEX('מלאי לפי חנות'!$E$5:$E$76,MATCH(SMALL('מלאי לפי חנות'!$N$5:$N$76,3),'מלאי לפי חנות'!$N$5:$N$76,0))</f>
        <v/>
      </c>
      <c r="B27" s="15">
        <f>INDEX('מלאי לפי חנות'!$A$5:$A$76,MATCH(SMALL('מלאי לפי חנות'!$N$5:$N$76,3),'מלאי לפי חנות'!$N$5:$N$76,0))</f>
        <v/>
      </c>
      <c r="C27" s="14">
        <f>INDEX('מלאי לפי חנות'!$B$5:$B$76,MATCH(SMALL('מלאי לפי חנות'!$N$5:$N$76,3),'מלאי לפי חנות'!$N$5:$N$76,0))</f>
        <v/>
      </c>
      <c r="D27" s="15">
        <f>INDEX('מלאי לפי חנות'!$C$5:$C$76,MATCH(SMALL('מלאי לפי חנות'!$N$5:$N$76,3),'מלאי לפי חנות'!$N$5:$N$76,0))</f>
        <v/>
      </c>
      <c r="E27" s="16">
        <f>INDEX('מלאי לפי חנות'!$F$5:$F$76,MATCH(SMALL('מלאי לפי חנות'!$N$5:$N$76,3),'מלאי לפי חנות'!$N$5:$N$76,0))</f>
        <v/>
      </c>
      <c r="F27" s="17">
        <f>INDEX('מלאי לפי חנות'!$H$5:$H$76,MATCH(SMALL('מלאי לפי חנות'!$N$5:$N$76,3),'מלאי לפי חנות'!$N$5:$N$76,0))</f>
        <v/>
      </c>
      <c r="G27" s="15">
        <f>INDEX('מלאי לפי חנות'!$I$5:$I$76,MATCH(SMALL('מלאי לפי חנות'!$N$5:$N$76,3),'מלאי לפי חנות'!$N$5:$N$76,0))</f>
        <v/>
      </c>
    </row>
    <row r="28" ht="20" customHeight="1">
      <c r="A28" s="18">
        <f>INDEX('מלאי לפי חנות'!$E$5:$E$76,MATCH(SMALL('מלאי לפי חנות'!$N$5:$N$76,4),'מלאי לפי חנות'!$N$5:$N$76,0))</f>
        <v/>
      </c>
      <c r="B28" s="19">
        <f>INDEX('מלאי לפי חנות'!$A$5:$A$76,MATCH(SMALL('מלאי לפי חנות'!$N$5:$N$76,4),'מלאי לפי חנות'!$N$5:$N$76,0))</f>
        <v/>
      </c>
      <c r="C28" s="18">
        <f>INDEX('מלאי לפי חנות'!$B$5:$B$76,MATCH(SMALL('מלאי לפי חנות'!$N$5:$N$76,4),'מלאי לפי חנות'!$N$5:$N$76,0))</f>
        <v/>
      </c>
      <c r="D28" s="19">
        <f>INDEX('מלאי לפי חנות'!$C$5:$C$76,MATCH(SMALL('מלאי לפי חנות'!$N$5:$N$76,4),'מלאי לפי חנות'!$N$5:$N$76,0))</f>
        <v/>
      </c>
      <c r="E28" s="20">
        <f>INDEX('מלאי לפי חנות'!$F$5:$F$76,MATCH(SMALL('מלאי לפי חנות'!$N$5:$N$76,4),'מלאי לפי חנות'!$N$5:$N$76,0))</f>
        <v/>
      </c>
      <c r="F28" s="21">
        <f>INDEX('מלאי לפי חנות'!$H$5:$H$76,MATCH(SMALL('מלאי לפי חנות'!$N$5:$N$76,4),'מלאי לפי חנות'!$N$5:$N$76,0))</f>
        <v/>
      </c>
      <c r="G28" s="19">
        <f>INDEX('מלאי לפי חנות'!$I$5:$I$76,MATCH(SMALL('מלאי לפי חנות'!$N$5:$N$76,4),'מלאי לפי חנות'!$N$5:$N$76,0))</f>
        <v/>
      </c>
    </row>
    <row r="29" ht="20" customHeight="1">
      <c r="A29" s="14">
        <f>INDEX('מלאי לפי חנות'!$E$5:$E$76,MATCH(SMALL('מלאי לפי חנות'!$N$5:$N$76,5),'מלאי לפי חנות'!$N$5:$N$76,0))</f>
        <v/>
      </c>
      <c r="B29" s="15">
        <f>INDEX('מלאי לפי חנות'!$A$5:$A$76,MATCH(SMALL('מלאי לפי חנות'!$N$5:$N$76,5),'מלאי לפי חנות'!$N$5:$N$76,0))</f>
        <v/>
      </c>
      <c r="C29" s="14">
        <f>INDEX('מלאי לפי חנות'!$B$5:$B$76,MATCH(SMALL('מלאי לפי חנות'!$N$5:$N$76,5),'מלאי לפי חנות'!$N$5:$N$76,0))</f>
        <v/>
      </c>
      <c r="D29" s="15">
        <f>INDEX('מלאי לפי חנות'!$C$5:$C$76,MATCH(SMALL('מלאי לפי חנות'!$N$5:$N$76,5),'מלאי לפי חנות'!$N$5:$N$76,0))</f>
        <v/>
      </c>
      <c r="E29" s="16">
        <f>INDEX('מלאי לפי חנות'!$F$5:$F$76,MATCH(SMALL('מלאי לפי חנות'!$N$5:$N$76,5),'מלאי לפי חנות'!$N$5:$N$76,0))</f>
        <v/>
      </c>
      <c r="F29" s="17">
        <f>INDEX('מלאי לפי חנות'!$H$5:$H$76,MATCH(SMALL('מלאי לפי חנות'!$N$5:$N$76,5),'מלאי לפי חנות'!$N$5:$N$76,0))</f>
        <v/>
      </c>
      <c r="G29" s="15">
        <f>INDEX('מלאי לפי חנות'!$I$5:$I$76,MATCH(SMALL('מלאי לפי חנות'!$N$5:$N$76,5),'מלאי לפי חנות'!$N$5:$N$76,0))</f>
        <v/>
      </c>
    </row>
    <row r="30" ht="20" customHeight="1">
      <c r="A30" s="18">
        <f>INDEX('מלאי לפי חנות'!$E$5:$E$76,MATCH(SMALL('מלאי לפי חנות'!$N$5:$N$76,6),'מלאי לפי חנות'!$N$5:$N$76,0))</f>
        <v/>
      </c>
      <c r="B30" s="19">
        <f>INDEX('מלאי לפי חנות'!$A$5:$A$76,MATCH(SMALL('מלאי לפי חנות'!$N$5:$N$76,6),'מלאי לפי חנות'!$N$5:$N$76,0))</f>
        <v/>
      </c>
      <c r="C30" s="18">
        <f>INDEX('מלאי לפי חנות'!$B$5:$B$76,MATCH(SMALL('מלאי לפי חנות'!$N$5:$N$76,6),'מלאי לפי חנות'!$N$5:$N$76,0))</f>
        <v/>
      </c>
      <c r="D30" s="19">
        <f>INDEX('מלאי לפי חנות'!$C$5:$C$76,MATCH(SMALL('מלאי לפי חנות'!$N$5:$N$76,6),'מלאי לפי חנות'!$N$5:$N$76,0))</f>
        <v/>
      </c>
      <c r="E30" s="20">
        <f>INDEX('מלאי לפי חנות'!$F$5:$F$76,MATCH(SMALL('מלאי לפי חנות'!$N$5:$N$76,6),'מלאי לפי חנות'!$N$5:$N$76,0))</f>
        <v/>
      </c>
      <c r="F30" s="21">
        <f>INDEX('מלאי לפי חנות'!$H$5:$H$76,MATCH(SMALL('מלאי לפי חנות'!$N$5:$N$76,6),'מלאי לפי חנות'!$N$5:$N$76,0))</f>
        <v/>
      </c>
      <c r="G30" s="19">
        <f>INDEX('מלאי לפי חנות'!$I$5:$I$76,MATCH(SMALL('מלאי לפי חנות'!$N$5:$N$76,6),'מלאי לפי חנות'!$N$5:$N$76,0))</f>
        <v/>
      </c>
    </row>
    <row r="31" ht="20" customHeight="1">
      <c r="A31" s="14">
        <f>INDEX('מלאי לפי חנות'!$E$5:$E$76,MATCH(SMALL('מלאי לפי חנות'!$N$5:$N$76,7),'מלאי לפי חנות'!$N$5:$N$76,0))</f>
        <v/>
      </c>
      <c r="B31" s="15">
        <f>INDEX('מלאי לפי חנות'!$A$5:$A$76,MATCH(SMALL('מלאי לפי חנות'!$N$5:$N$76,7),'מלאי לפי חנות'!$N$5:$N$76,0))</f>
        <v/>
      </c>
      <c r="C31" s="14">
        <f>INDEX('מלאי לפי חנות'!$B$5:$B$76,MATCH(SMALL('מלאי לפי חנות'!$N$5:$N$76,7),'מלאי לפי חנות'!$N$5:$N$76,0))</f>
        <v/>
      </c>
      <c r="D31" s="15">
        <f>INDEX('מלאי לפי חנות'!$C$5:$C$76,MATCH(SMALL('מלאי לפי חנות'!$N$5:$N$76,7),'מלאי לפי חנות'!$N$5:$N$76,0))</f>
        <v/>
      </c>
      <c r="E31" s="16">
        <f>INDEX('מלאי לפי חנות'!$F$5:$F$76,MATCH(SMALL('מלאי לפי חנות'!$N$5:$N$76,7),'מלאי לפי חנות'!$N$5:$N$76,0))</f>
        <v/>
      </c>
      <c r="F31" s="17">
        <f>INDEX('מלאי לפי חנות'!$H$5:$H$76,MATCH(SMALL('מלאי לפי חנות'!$N$5:$N$76,7),'מלאי לפי חנות'!$N$5:$N$76,0))</f>
        <v/>
      </c>
      <c r="G31" s="15">
        <f>INDEX('מלאי לפי חנות'!$I$5:$I$76,MATCH(SMALL('מלאי לפי חנות'!$N$5:$N$76,7),'מלאי לפי חנות'!$N$5:$N$76,0))</f>
        <v/>
      </c>
    </row>
    <row r="32" ht="20" customHeight="1">
      <c r="A32" s="18">
        <f>INDEX('מלאי לפי חנות'!$E$5:$E$76,MATCH(SMALL('מלאי לפי חנות'!$N$5:$N$76,8),'מלאי לפי חנות'!$N$5:$N$76,0))</f>
        <v/>
      </c>
      <c r="B32" s="19">
        <f>INDEX('מלאי לפי חנות'!$A$5:$A$76,MATCH(SMALL('מלאי לפי חנות'!$N$5:$N$76,8),'מלאי לפי חנות'!$N$5:$N$76,0))</f>
        <v/>
      </c>
      <c r="C32" s="18">
        <f>INDEX('מלאי לפי חנות'!$B$5:$B$76,MATCH(SMALL('מלאי לפי חנות'!$N$5:$N$76,8),'מלאי לפי חנות'!$N$5:$N$76,0))</f>
        <v/>
      </c>
      <c r="D32" s="19">
        <f>INDEX('מלאי לפי חנות'!$C$5:$C$76,MATCH(SMALL('מלאי לפי חנות'!$N$5:$N$76,8),'מלאי לפי חנות'!$N$5:$N$76,0))</f>
        <v/>
      </c>
      <c r="E32" s="20">
        <f>INDEX('מלאי לפי חנות'!$F$5:$F$76,MATCH(SMALL('מלאי לפי חנות'!$N$5:$N$76,8),'מלאי לפי חנות'!$N$5:$N$76,0))</f>
        <v/>
      </c>
      <c r="F32" s="21">
        <f>INDEX('מלאי לפי חנות'!$H$5:$H$76,MATCH(SMALL('מלאי לפי חנות'!$N$5:$N$76,8),'מלאי לפי חנות'!$N$5:$N$76,0))</f>
        <v/>
      </c>
      <c r="G32" s="19">
        <f>INDEX('מלאי לפי חנות'!$I$5:$I$76,MATCH(SMALL('מלאי לפי חנות'!$N$5:$N$76,8),'מלאי לפי חנות'!$N$5:$N$76,0))</f>
        <v/>
      </c>
    </row>
    <row r="33" ht="20" customHeight="1">
      <c r="A33" s="14">
        <f>INDEX('מלאי לפי חנות'!$E$5:$E$76,MATCH(SMALL('מלאי לפי חנות'!$N$5:$N$76,9),'מלאי לפי חנות'!$N$5:$N$76,0))</f>
        <v/>
      </c>
      <c r="B33" s="15">
        <f>INDEX('מלאי לפי חנות'!$A$5:$A$76,MATCH(SMALL('מלאי לפי חנות'!$N$5:$N$76,9),'מלאי לפי חנות'!$N$5:$N$76,0))</f>
        <v/>
      </c>
      <c r="C33" s="14">
        <f>INDEX('מלאי לפי חנות'!$B$5:$B$76,MATCH(SMALL('מלאי לפי חנות'!$N$5:$N$76,9),'מלאי לפי חנות'!$N$5:$N$76,0))</f>
        <v/>
      </c>
      <c r="D33" s="15">
        <f>INDEX('מלאי לפי חנות'!$C$5:$C$76,MATCH(SMALL('מלאי לפי חנות'!$N$5:$N$76,9),'מלאי לפי חנות'!$N$5:$N$76,0))</f>
        <v/>
      </c>
      <c r="E33" s="16">
        <f>INDEX('מלאי לפי חנות'!$F$5:$F$76,MATCH(SMALL('מלאי לפי חנות'!$N$5:$N$76,9),'מלאי לפי חנות'!$N$5:$N$76,0))</f>
        <v/>
      </c>
      <c r="F33" s="17">
        <f>INDEX('מלאי לפי חנות'!$H$5:$H$76,MATCH(SMALL('מלאי לפי חנות'!$N$5:$N$76,9),'מלאי לפי חנות'!$N$5:$N$76,0))</f>
        <v/>
      </c>
      <c r="G33" s="15">
        <f>INDEX('מלאי לפי חנות'!$I$5:$I$76,MATCH(SMALL('מלאי לפי חנות'!$N$5:$N$76,9),'מלאי לפי חנות'!$N$5:$N$76,0))</f>
        <v/>
      </c>
    </row>
    <row r="34" ht="20" customHeight="1">
      <c r="A34" s="18">
        <f>INDEX('מלאי לפי חנות'!$E$5:$E$76,MATCH(SMALL('מלאי לפי חנות'!$N$5:$N$76,10),'מלאי לפי חנות'!$N$5:$N$76,0))</f>
        <v/>
      </c>
      <c r="B34" s="19">
        <f>INDEX('מלאי לפי חנות'!$A$5:$A$76,MATCH(SMALL('מלאי לפי חנות'!$N$5:$N$76,10),'מלאי לפי חנות'!$N$5:$N$76,0))</f>
        <v/>
      </c>
      <c r="C34" s="18">
        <f>INDEX('מלאי לפי חנות'!$B$5:$B$76,MATCH(SMALL('מלאי לפי חנות'!$N$5:$N$76,10),'מלאי לפי חנות'!$N$5:$N$76,0))</f>
        <v/>
      </c>
      <c r="D34" s="19">
        <f>INDEX('מלאי לפי חנות'!$C$5:$C$76,MATCH(SMALL('מלאי לפי חנות'!$N$5:$N$76,10),'מלאי לפי חנות'!$N$5:$N$76,0))</f>
        <v/>
      </c>
      <c r="E34" s="20">
        <f>INDEX('מלאי לפי חנות'!$F$5:$F$76,MATCH(SMALL('מלאי לפי חנות'!$N$5:$N$76,10),'מלאי לפי חנות'!$N$5:$N$76,0))</f>
        <v/>
      </c>
      <c r="F34" s="21">
        <f>INDEX('מלאי לפי חנות'!$H$5:$H$76,MATCH(SMALL('מלאי לפי חנות'!$N$5:$N$76,10),'מלאי לפי חנות'!$N$5:$N$76,0))</f>
        <v/>
      </c>
      <c r="G34" s="19">
        <f>INDEX('מלאי לפי חנות'!$I$5:$I$76,MATCH(SMALL('מלאי לפי חנות'!$N$5:$N$76,10),'מלאי לפי חנות'!$N$5:$N$76,0))</f>
        <v/>
      </c>
    </row>
  </sheetData>
  <conditionalFormatting sqref="G25:G34">
    <cfRule type="cellIs" priority="1" operator="equal" dxfId="0">
      <formula>"אזל"</formula>
    </cfRule>
    <cfRule type="cellIs" priority="2" operator="equal" dxfId="0">
      <formula>"קריטי"</formula>
    </cfRule>
    <cfRule type="cellIs" priority="3" operator="equal" dxfId="1">
      <formula>"נמוך"</formula>
    </cfRule>
    <cfRule type="cellIs" priority="4" operator="equal" dxfId="2">
      <formula>"תקין"</formula>
    </cfRule>
    <cfRule type="cellIs" priority="5" operator="equal" dxfId="3">
      <formula>"עודף"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7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2" customWidth="1" min="3" max="3"/>
    <col width="52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</cols>
  <sheetData>
    <row r="1" ht="30" customHeight="1">
      <c r="A1" s="1" t="inlineStr">
        <is>
          <t>הנחות ופרמטרים</t>
        </is>
      </c>
    </row>
    <row r="2" ht="16" customHeight="1">
      <c r="A2" s="2" t="inlineStr">
        <is>
          <t>כל המספרים שאפשר לשנות נמצאים כאן. שאר הגיליונות מחושבים מהם אוטומטית.</t>
        </is>
      </c>
    </row>
    <row r="4" ht="32" customHeight="1">
      <c r="A4" s="13" t="inlineStr">
        <is>
          <t>פרמטר</t>
        </is>
      </c>
      <c r="B4" s="13" t="inlineStr">
        <is>
          <t>ערך</t>
        </is>
      </c>
      <c r="C4" s="13" t="inlineStr">
        <is>
          <t>יחידה</t>
        </is>
      </c>
      <c r="D4" s="13" t="inlineStr">
        <is>
          <t>למה זה משפיע</t>
        </is>
      </c>
    </row>
    <row r="5" ht="20" customHeight="1">
      <c r="A5" s="14" t="inlineStr">
        <is>
          <t>שיעור מע״מ</t>
        </is>
      </c>
      <c r="B5" s="22" t="n">
        <v>0.18</v>
      </c>
      <c r="C5" s="15" t="inlineStr">
        <is>
          <t>אחוז</t>
        </is>
      </c>
      <c r="D5" s="14" t="inlineStr">
        <is>
          <t>מופחת מההכנסות כדי להגיע להכנסה נטו</t>
        </is>
      </c>
    </row>
    <row r="6" ht="20" customHeight="1">
      <c r="A6" s="18" t="inlineStr">
        <is>
          <t>שיעור עלות המכר</t>
        </is>
      </c>
      <c r="B6" s="23" t="n">
        <v>0.42</v>
      </c>
      <c r="C6" s="19" t="inlineStr">
        <is>
          <t>אחוז</t>
        </is>
      </c>
      <c r="D6" s="18" t="inlineStr">
        <is>
          <t>כמה עולה לנו הסחורה, כאחוז מההכנסה נטו</t>
        </is>
      </c>
    </row>
    <row r="7" ht="20" customHeight="1">
      <c r="A7" s="14" t="inlineStr">
        <is>
          <t>ימי אשראי לקוחות</t>
        </is>
      </c>
      <c r="B7" s="16" t="n">
        <v>45</v>
      </c>
      <c r="C7" s="15" t="inlineStr">
        <is>
          <t>ימים</t>
        </is>
      </c>
      <c r="D7" s="14" t="inlineStr">
        <is>
          <t>כמה זמן לוקח לגבות מלקוחות</t>
        </is>
      </c>
    </row>
    <row r="8" ht="20" customHeight="1">
      <c r="A8" s="18" t="inlineStr">
        <is>
          <t>ימי אשראי ספקים</t>
        </is>
      </c>
      <c r="B8" s="20" t="n">
        <v>60</v>
      </c>
      <c r="C8" s="19" t="inlineStr">
        <is>
          <t>ימים</t>
        </is>
      </c>
      <c r="D8" s="18" t="inlineStr">
        <is>
          <t>כמה זמן יש לנו לשלם לספקים</t>
        </is>
      </c>
    </row>
    <row r="9" ht="20" customHeight="1">
      <c r="A9" s="14" t="inlineStr">
        <is>
          <t>זמן אספקה מספק</t>
        </is>
      </c>
      <c r="B9" s="16" t="n">
        <v>21</v>
      </c>
      <c r="C9" s="15" t="inlineStr">
        <is>
          <t>ימים</t>
        </is>
      </c>
      <c r="D9" s="14" t="inlineStr">
        <is>
          <t>כמה זמן לוקח לקבל סחורה אחרי הזמנה</t>
        </is>
      </c>
    </row>
    <row r="10" ht="20" customHeight="1">
      <c r="A10" s="18" t="inlineStr">
        <is>
          <t>שבועות כיסוי מינימום</t>
        </is>
      </c>
      <c r="B10" s="20" t="n">
        <v>4</v>
      </c>
      <c r="C10" s="19" t="inlineStr">
        <is>
          <t>שבועות</t>
        </is>
      </c>
      <c r="D10" s="18" t="inlineStr">
        <is>
          <t>מתחת לזה הפריט מסומן כנמוך</t>
        </is>
      </c>
    </row>
    <row r="11" ht="20" customHeight="1">
      <c r="A11" s="14" t="inlineStr">
        <is>
          <t>יתרת פתיחה במזומן</t>
        </is>
      </c>
      <c r="B11" s="24" t="n">
        <v>285000</v>
      </c>
      <c r="C11" s="15" t="inlineStr">
        <is>
          <t>₪</t>
        </is>
      </c>
      <c r="D11" s="14" t="inlineStr">
        <is>
          <t>כמה מזומן היה בקופה בתחילת השנה</t>
        </is>
      </c>
    </row>
    <row r="13" ht="24" customHeight="1">
      <c r="A13" s="3" t="inlineStr">
        <is>
          <t>עונתיות — כמה כל חודש שונה מינואר</t>
        </is>
      </c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</row>
    <row r="14" ht="32" customHeight="1">
      <c r="A14" s="13" t="inlineStr">
        <is>
          <t>חודש</t>
        </is>
      </c>
      <c r="B14" s="13" t="inlineStr">
        <is>
          <t>ינואר</t>
        </is>
      </c>
      <c r="C14" s="13" t="inlineStr">
        <is>
          <t>פברואר</t>
        </is>
      </c>
      <c r="D14" s="13" t="inlineStr">
        <is>
          <t>מרץ</t>
        </is>
      </c>
      <c r="E14" s="13" t="inlineStr">
        <is>
          <t>אפריל</t>
        </is>
      </c>
      <c r="F14" s="13" t="inlineStr">
        <is>
          <t>מאי</t>
        </is>
      </c>
      <c r="G14" s="13" t="inlineStr">
        <is>
          <t>יוני</t>
        </is>
      </c>
      <c r="H14" s="13" t="inlineStr">
        <is>
          <t>יולי</t>
        </is>
      </c>
      <c r="I14" s="13" t="inlineStr">
        <is>
          <t>אוגוסט</t>
        </is>
      </c>
      <c r="J14" s="13" t="inlineStr">
        <is>
          <t>ספטמבר</t>
        </is>
      </c>
      <c r="K14" s="13" t="inlineStr">
        <is>
          <t>אוקטובר</t>
        </is>
      </c>
      <c r="L14" s="13" t="inlineStr">
        <is>
          <t>נובמבר</t>
        </is>
      </c>
      <c r="M14" s="13" t="inlineStr">
        <is>
          <t>דצמבר</t>
        </is>
      </c>
    </row>
    <row r="15" ht="20" customHeight="1">
      <c r="A15" s="14" t="inlineStr">
        <is>
          <t>מקדם</t>
        </is>
      </c>
      <c r="B15" s="25" t="n">
        <v>1</v>
      </c>
      <c r="C15" s="25" t="n">
        <v>0.88</v>
      </c>
      <c r="D15" s="25" t="n">
        <v>1.05</v>
      </c>
      <c r="E15" s="25" t="n">
        <v>0.97</v>
      </c>
      <c r="F15" s="25" t="n">
        <v>1.12</v>
      </c>
      <c r="G15" s="25" t="n">
        <v>1.21</v>
      </c>
      <c r="H15" s="25" t="n">
        <v>1.18</v>
      </c>
      <c r="I15" s="25" t="n">
        <v>1.02</v>
      </c>
      <c r="J15" s="25" t="n">
        <v>1.09</v>
      </c>
      <c r="K15" s="25" t="n">
        <v>1.14</v>
      </c>
      <c r="L15" s="25" t="n">
        <v>1.25</v>
      </c>
      <c r="M15" s="25" t="n">
        <v>1.4</v>
      </c>
    </row>
    <row r="17">
      <c r="A17" s="26" t="inlineStr">
        <is>
          <t>1.00 = כמו ינואר. 1.40 = 40% יותר מינואר.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76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12" customWidth="1" min="4" max="4"/>
    <col width="22" customWidth="1" min="5" max="5"/>
    <col width="12" customWidth="1" min="6" max="6"/>
    <col width="15" customWidth="1" min="7" max="7"/>
    <col width="13" customWidth="1" min="8" max="8"/>
    <col width="13" customWidth="1" min="9" max="9"/>
    <col width="13" customWidth="1" min="10" max="10"/>
    <col width="13" customWidth="1" min="11" max="11"/>
    <col width="17" customWidth="1" min="12" max="12"/>
    <col width="15" customWidth="1" min="13" max="13"/>
    <col hidden="1" width="12" customWidth="1" min="14" max="14"/>
  </cols>
  <sheetData>
    <row r="1" ht="30" customHeight="1">
      <c r="A1" s="1" t="inlineStr">
        <is>
          <t>מלאי לפי חנות</t>
        </is>
      </c>
    </row>
    <row r="2" ht="16" customHeight="1">
      <c r="A2" s="2" t="inlineStr">
        <is>
          <t>כל שורה = פריט אחד בחנות אחת. עמודת הסטטוס אומרת מה לעשות.</t>
        </is>
      </c>
    </row>
    <row r="4" ht="32" customHeight="1">
      <c r="A4" s="13" t="inlineStr">
        <is>
          <t>מק״ט</t>
        </is>
      </c>
      <c r="B4" s="13" t="inlineStr">
        <is>
          <t>פריט</t>
        </is>
      </c>
      <c r="C4" s="13" t="inlineStr">
        <is>
          <t>מידה</t>
        </is>
      </c>
      <c r="D4" s="13" t="inlineStr">
        <is>
          <t>קטגוריה</t>
        </is>
      </c>
      <c r="E4" s="13" t="inlineStr">
        <is>
          <t>חנות</t>
        </is>
      </c>
      <c r="F4" s="13" t="inlineStr">
        <is>
          <t>מלאי (יח׳)</t>
        </is>
      </c>
      <c r="G4" s="13" t="inlineStr">
        <is>
          <t>מכירות בחודש (יח׳)</t>
        </is>
      </c>
      <c r="H4" s="13" t="inlineStr">
        <is>
          <t>שבועות כיסוי</t>
        </is>
      </c>
      <c r="I4" s="13" t="inlineStr">
        <is>
          <t>סטטוס</t>
        </is>
      </c>
      <c r="J4" s="13" t="inlineStr">
        <is>
          <t>מחיר מכירה</t>
        </is>
      </c>
      <c r="K4" s="13" t="inlineStr">
        <is>
          <t>עלות ליחידה</t>
        </is>
      </c>
      <c r="L4" s="13" t="inlineStr">
        <is>
          <t>מכירות בחודש (₪)</t>
        </is>
      </c>
      <c r="M4" s="13" t="inlineStr">
        <is>
          <t>שווי מלאי (₪)</t>
        </is>
      </c>
      <c r="N4" s="13" t="inlineStr">
        <is>
          <t>מפתח מיון</t>
        </is>
      </c>
    </row>
    <row r="5" ht="20" customHeight="1">
      <c r="A5" s="15" t="inlineStr">
        <is>
          <t>TS-1041</t>
        </is>
      </c>
      <c r="B5" s="14" t="inlineStr">
        <is>
          <t>חולצת טי כותנה</t>
        </is>
      </c>
      <c r="C5" s="15" t="inlineStr">
        <is>
          <t>M</t>
        </is>
      </c>
      <c r="D5" s="14" t="inlineStr">
        <is>
          <t>חולצות</t>
        </is>
      </c>
      <c r="E5" s="14" t="inlineStr">
        <is>
          <t>גרנד קניון חיפה</t>
        </is>
      </c>
      <c r="F5" s="16" t="n">
        <v>113</v>
      </c>
      <c r="G5" s="16" t="n">
        <v>116</v>
      </c>
      <c r="H5" s="17">
        <f>ROUND(F5/(G5/4.33),1)</f>
        <v/>
      </c>
      <c r="I5" s="15">
        <f>IF(H5&lt;1,"אזל",IF(H5&lt;2,"קריטי",IF(H5&lt;'הנחות ופרמטרים'!$B$10,"נמוך",IF(H5&lt;=12,"תקין","עודף"))))</f>
        <v/>
      </c>
      <c r="J5" s="27" t="n">
        <v>79.90000000000001</v>
      </c>
      <c r="K5" s="27" t="n">
        <v>24.9</v>
      </c>
      <c r="L5" s="28">
        <f>G5*J5</f>
        <v/>
      </c>
      <c r="M5" s="28">
        <f>F5*K5</f>
        <v/>
      </c>
      <c r="N5" s="29">
        <f>H5+ROW()/1000000</f>
        <v/>
      </c>
    </row>
    <row r="6" ht="20" customHeight="1">
      <c r="A6" s="19" t="inlineStr">
        <is>
          <t>TS-1042</t>
        </is>
      </c>
      <c r="B6" s="18" t="inlineStr">
        <is>
          <t>חולצת טי כותנה</t>
        </is>
      </c>
      <c r="C6" s="19" t="inlineStr">
        <is>
          <t>L</t>
        </is>
      </c>
      <c r="D6" s="18" t="inlineStr">
        <is>
          <t>חולצות</t>
        </is>
      </c>
      <c r="E6" s="18" t="inlineStr">
        <is>
          <t>גרנד קניון חיפה</t>
        </is>
      </c>
      <c r="F6" s="20" t="n">
        <v>80</v>
      </c>
      <c r="G6" s="20" t="n">
        <v>240</v>
      </c>
      <c r="H6" s="21">
        <f>ROUND(F6/(G6/4.33),1)</f>
        <v/>
      </c>
      <c r="I6" s="19">
        <f>IF(H6&lt;1,"אזל",IF(H6&lt;2,"קריטי",IF(H6&lt;'הנחות ופרמטרים'!$B$10,"נמוך",IF(H6&lt;=12,"תקין","עודף"))))</f>
        <v/>
      </c>
      <c r="J6" s="30" t="n">
        <v>79.90000000000001</v>
      </c>
      <c r="K6" s="30" t="n">
        <v>24.9</v>
      </c>
      <c r="L6" s="31">
        <f>G6*J6</f>
        <v/>
      </c>
      <c r="M6" s="31">
        <f>F6*K6</f>
        <v/>
      </c>
      <c r="N6" s="29">
        <f>H6+ROW()/1000000</f>
        <v/>
      </c>
    </row>
    <row r="7" ht="20" customHeight="1">
      <c r="A7" s="15" t="inlineStr">
        <is>
          <t>SH-2210</t>
        </is>
      </c>
      <c r="B7" s="14" t="inlineStr">
        <is>
          <t>חולצה מכופתרת פשתן</t>
        </is>
      </c>
      <c r="C7" s="15" t="inlineStr">
        <is>
          <t>L</t>
        </is>
      </c>
      <c r="D7" s="14" t="inlineStr">
        <is>
          <t>חולצות</t>
        </is>
      </c>
      <c r="E7" s="14" t="inlineStr">
        <is>
          <t>גרנד קניון חיפה</t>
        </is>
      </c>
      <c r="F7" s="16" t="n">
        <v>176</v>
      </c>
      <c r="G7" s="16" t="n">
        <v>62</v>
      </c>
      <c r="H7" s="17">
        <f>ROUND(F7/(G7/4.33),1)</f>
        <v/>
      </c>
      <c r="I7" s="15">
        <f>IF(H7&lt;1,"אזל",IF(H7&lt;2,"קריטי",IF(H7&lt;'הנחות ופרמטרים'!$B$10,"נמוך",IF(H7&lt;=12,"תקין","עודף"))))</f>
        <v/>
      </c>
      <c r="J7" s="27" t="n">
        <v>189</v>
      </c>
      <c r="K7" s="27" t="n">
        <v>68</v>
      </c>
      <c r="L7" s="28">
        <f>G7*J7</f>
        <v/>
      </c>
      <c r="M7" s="28">
        <f>F7*K7</f>
        <v/>
      </c>
      <c r="N7" s="29">
        <f>H7+ROW()/1000000</f>
        <v/>
      </c>
    </row>
    <row r="8" ht="20" customHeight="1">
      <c r="A8" s="19" t="inlineStr">
        <is>
          <t>JN-3305</t>
        </is>
      </c>
      <c r="B8" s="18" t="inlineStr">
        <is>
          <t>מכנסי ג׳ינס סלים</t>
        </is>
      </c>
      <c r="C8" s="19" t="inlineStr">
        <is>
          <t>32</t>
        </is>
      </c>
      <c r="D8" s="18" t="inlineStr">
        <is>
          <t>מכנסיים</t>
        </is>
      </c>
      <c r="E8" s="18" t="inlineStr">
        <is>
          <t>גרנד קניון חיפה</t>
        </is>
      </c>
      <c r="F8" s="20" t="n">
        <v>15</v>
      </c>
      <c r="G8" s="20" t="n">
        <v>114</v>
      </c>
      <c r="H8" s="21">
        <f>ROUND(F8/(G8/4.33),1)</f>
        <v/>
      </c>
      <c r="I8" s="19">
        <f>IF(H8&lt;1,"אזל",IF(H8&lt;2,"קריטי",IF(H8&lt;'הנחות ופרמטרים'!$B$10,"נמוך",IF(H8&lt;=12,"תקין","עודף"))))</f>
        <v/>
      </c>
      <c r="J8" s="30" t="n">
        <v>249</v>
      </c>
      <c r="K8" s="30" t="n">
        <v>96.5</v>
      </c>
      <c r="L8" s="31">
        <f>G8*J8</f>
        <v/>
      </c>
      <c r="M8" s="31">
        <f>F8*K8</f>
        <v/>
      </c>
      <c r="N8" s="29">
        <f>H8+ROW()/1000000</f>
        <v/>
      </c>
    </row>
    <row r="9" ht="20" customHeight="1">
      <c r="A9" s="15" t="inlineStr">
        <is>
          <t>JN-3307</t>
        </is>
      </c>
      <c r="B9" s="14" t="inlineStr">
        <is>
          <t>מכנסי ג׳ינס ישר</t>
        </is>
      </c>
      <c r="C9" s="15" t="inlineStr">
        <is>
          <t>34</t>
        </is>
      </c>
      <c r="D9" s="14" t="inlineStr">
        <is>
          <t>מכנסיים</t>
        </is>
      </c>
      <c r="E9" s="14" t="inlineStr">
        <is>
          <t>גרנד קניון חיפה</t>
        </is>
      </c>
      <c r="F9" s="16" t="n">
        <v>317</v>
      </c>
      <c r="G9" s="16" t="n">
        <v>84</v>
      </c>
      <c r="H9" s="17">
        <f>ROUND(F9/(G9/4.33),1)</f>
        <v/>
      </c>
      <c r="I9" s="15">
        <f>IF(H9&lt;1,"אזל",IF(H9&lt;2,"קריטי",IF(H9&lt;'הנחות ופרמטרים'!$B$10,"נמוך",IF(H9&lt;=12,"תקין","עודף"))))</f>
        <v/>
      </c>
      <c r="J9" s="27" t="n">
        <v>249</v>
      </c>
      <c r="K9" s="27" t="n">
        <v>96.5</v>
      </c>
      <c r="L9" s="28">
        <f>G9*J9</f>
        <v/>
      </c>
      <c r="M9" s="28">
        <f>F9*K9</f>
        <v/>
      </c>
      <c r="N9" s="29">
        <f>H9+ROW()/1000000</f>
        <v/>
      </c>
    </row>
    <row r="10" ht="20" customHeight="1">
      <c r="A10" s="19" t="inlineStr">
        <is>
          <t>DR-4102</t>
        </is>
      </c>
      <c r="B10" s="18" t="inlineStr">
        <is>
          <t>שמלת קיץ פרחונית</t>
        </is>
      </c>
      <c r="C10" s="19" t="inlineStr">
        <is>
          <t>S</t>
        </is>
      </c>
      <c r="D10" s="18" t="inlineStr">
        <is>
          <t>שמלות</t>
        </is>
      </c>
      <c r="E10" s="18" t="inlineStr">
        <is>
          <t>גרנד קניון חיפה</t>
        </is>
      </c>
      <c r="F10" s="20" t="n">
        <v>46</v>
      </c>
      <c r="G10" s="20" t="n">
        <v>44</v>
      </c>
      <c r="H10" s="21">
        <f>ROUND(F10/(G10/4.33),1)</f>
        <v/>
      </c>
      <c r="I10" s="19">
        <f>IF(H10&lt;1,"אזל",IF(H10&lt;2,"קריטי",IF(H10&lt;'הנחות ופרמטרים'!$B$10,"נמוך",IF(H10&lt;=12,"תקין","עודף"))))</f>
        <v/>
      </c>
      <c r="J10" s="30" t="n">
        <v>279</v>
      </c>
      <c r="K10" s="30" t="n">
        <v>112</v>
      </c>
      <c r="L10" s="31">
        <f>G10*J10</f>
        <v/>
      </c>
      <c r="M10" s="31">
        <f>F10*K10</f>
        <v/>
      </c>
      <c r="N10" s="29">
        <f>H10+ROW()/1000000</f>
        <v/>
      </c>
    </row>
    <row r="11" ht="20" customHeight="1">
      <c r="A11" s="15" t="inlineStr">
        <is>
          <t>DR-4108</t>
        </is>
      </c>
      <c r="B11" s="14" t="inlineStr">
        <is>
          <t>שמלת ערב</t>
        </is>
      </c>
      <c r="C11" s="15" t="inlineStr">
        <is>
          <t>M</t>
        </is>
      </c>
      <c r="D11" s="14" t="inlineStr">
        <is>
          <t>שמלות</t>
        </is>
      </c>
      <c r="E11" s="14" t="inlineStr">
        <is>
          <t>גרנד קניון חיפה</t>
        </is>
      </c>
      <c r="F11" s="16" t="n">
        <v>104</v>
      </c>
      <c r="G11" s="16" t="n">
        <v>29</v>
      </c>
      <c r="H11" s="17">
        <f>ROUND(F11/(G11/4.33),1)</f>
        <v/>
      </c>
      <c r="I11" s="15">
        <f>IF(H11&lt;1,"אזל",IF(H11&lt;2,"קריטי",IF(H11&lt;'הנחות ופרמטרים'!$B$10,"נמוך",IF(H11&lt;=12,"תקין","עודף"))))</f>
        <v/>
      </c>
      <c r="J11" s="27" t="n">
        <v>590</v>
      </c>
      <c r="K11" s="27" t="n">
        <v>245</v>
      </c>
      <c r="L11" s="28">
        <f>G11*J11</f>
        <v/>
      </c>
      <c r="M11" s="28">
        <f>F11*K11</f>
        <v/>
      </c>
      <c r="N11" s="29">
        <f>H11+ROW()/1000000</f>
        <v/>
      </c>
    </row>
    <row r="12" ht="20" customHeight="1">
      <c r="A12" s="19" t="inlineStr">
        <is>
          <t>JK-5501</t>
        </is>
      </c>
      <c r="B12" s="18" t="inlineStr">
        <is>
          <t>מעיל חורף מרופד</t>
        </is>
      </c>
      <c r="C12" s="19" t="inlineStr">
        <is>
          <t>XL</t>
        </is>
      </c>
      <c r="D12" s="18" t="inlineStr">
        <is>
          <t>מעילים</t>
        </is>
      </c>
      <c r="E12" s="18" t="inlineStr">
        <is>
          <t>גרנד קניון חיפה</t>
        </is>
      </c>
      <c r="F12" s="20" t="n">
        <v>48</v>
      </c>
      <c r="G12" s="20" t="n">
        <v>32</v>
      </c>
      <c r="H12" s="21">
        <f>ROUND(F12/(G12/4.33),1)</f>
        <v/>
      </c>
      <c r="I12" s="19">
        <f>IF(H12&lt;1,"אזל",IF(H12&lt;2,"קריטי",IF(H12&lt;'הנחות ופרמטרים'!$B$10,"נמוך",IF(H12&lt;=12,"תקין","עודף"))))</f>
        <v/>
      </c>
      <c r="J12" s="30" t="n">
        <v>449</v>
      </c>
      <c r="K12" s="30" t="n">
        <v>189</v>
      </c>
      <c r="L12" s="31">
        <f>G12*J12</f>
        <v/>
      </c>
      <c r="M12" s="31">
        <f>F12*K12</f>
        <v/>
      </c>
      <c r="N12" s="29">
        <f>H12+ROW()/1000000</f>
        <v/>
      </c>
    </row>
    <row r="13" ht="20" customHeight="1">
      <c r="A13" s="15" t="inlineStr">
        <is>
          <t>JK-5504</t>
        </is>
      </c>
      <c r="B13" s="14" t="inlineStr">
        <is>
          <t>ג׳קט ג׳ינס</t>
        </is>
      </c>
      <c r="C13" s="15" t="inlineStr">
        <is>
          <t>M</t>
        </is>
      </c>
      <c r="D13" s="14" t="inlineStr">
        <is>
          <t>מעילים</t>
        </is>
      </c>
      <c r="E13" s="14" t="inlineStr">
        <is>
          <t>גרנד קניון חיפה</t>
        </is>
      </c>
      <c r="F13" s="16" t="n">
        <v>15</v>
      </c>
      <c r="G13" s="16" t="n">
        <v>34</v>
      </c>
      <c r="H13" s="17">
        <f>ROUND(F13/(G13/4.33),1)</f>
        <v/>
      </c>
      <c r="I13" s="15">
        <f>IF(H13&lt;1,"אזל",IF(H13&lt;2,"קריטי",IF(H13&lt;'הנחות ופרמטרים'!$B$10,"נמוך",IF(H13&lt;=12,"תקין","עודף"))))</f>
        <v/>
      </c>
      <c r="J13" s="27" t="n">
        <v>379</v>
      </c>
      <c r="K13" s="27" t="n">
        <v>154</v>
      </c>
      <c r="L13" s="28">
        <f>G13*J13</f>
        <v/>
      </c>
      <c r="M13" s="28">
        <f>F13*K13</f>
        <v/>
      </c>
      <c r="N13" s="29">
        <f>H13+ROW()/1000000</f>
        <v/>
      </c>
    </row>
    <row r="14" ht="20" customHeight="1">
      <c r="A14" s="19" t="inlineStr">
        <is>
          <t>AC-6001</t>
        </is>
      </c>
      <c r="B14" s="18" t="inlineStr">
        <is>
          <t>חגורת עור</t>
        </is>
      </c>
      <c r="C14" s="19" t="inlineStr">
        <is>
          <t>יחיד</t>
        </is>
      </c>
      <c r="D14" s="18" t="inlineStr">
        <is>
          <t>אביזרים</t>
        </is>
      </c>
      <c r="E14" s="18" t="inlineStr">
        <is>
          <t>גרנד קניון חיפה</t>
        </is>
      </c>
      <c r="F14" s="20" t="n">
        <v>134</v>
      </c>
      <c r="G14" s="20" t="n">
        <v>66</v>
      </c>
      <c r="H14" s="21">
        <f>ROUND(F14/(G14/4.33),1)</f>
        <v/>
      </c>
      <c r="I14" s="19">
        <f>IF(H14&lt;1,"אזל",IF(H14&lt;2,"קריטי",IF(H14&lt;'הנחות ופרמטרים'!$B$10,"נמוך",IF(H14&lt;=12,"תקין","עודף"))))</f>
        <v/>
      </c>
      <c r="J14" s="30" t="n">
        <v>119</v>
      </c>
      <c r="K14" s="30" t="n">
        <v>42</v>
      </c>
      <c r="L14" s="31">
        <f>G14*J14</f>
        <v/>
      </c>
      <c r="M14" s="31">
        <f>F14*K14</f>
        <v/>
      </c>
      <c r="N14" s="29">
        <f>H14+ROW()/1000000</f>
        <v/>
      </c>
    </row>
    <row r="15" ht="20" customHeight="1">
      <c r="A15" s="15" t="inlineStr">
        <is>
          <t>AC-6014</t>
        </is>
      </c>
      <c r="B15" s="14" t="inlineStr">
        <is>
          <t>צעיף צמר</t>
        </is>
      </c>
      <c r="C15" s="15" t="inlineStr">
        <is>
          <t>יחיד</t>
        </is>
      </c>
      <c r="D15" s="14" t="inlineStr">
        <is>
          <t>אביזרים</t>
        </is>
      </c>
      <c r="E15" s="14" t="inlineStr">
        <is>
          <t>גרנד קניון חיפה</t>
        </is>
      </c>
      <c r="F15" s="16" t="n">
        <v>131</v>
      </c>
      <c r="G15" s="16" t="n">
        <v>22</v>
      </c>
      <c r="H15" s="17">
        <f>ROUND(F15/(G15/4.33),1)</f>
        <v/>
      </c>
      <c r="I15" s="15">
        <f>IF(H15&lt;1,"אזל",IF(H15&lt;2,"קריטי",IF(H15&lt;'הנחות ופרמטרים'!$B$10,"נמוך",IF(H15&lt;=12,"תקין","עודף"))))</f>
        <v/>
      </c>
      <c r="J15" s="27" t="n">
        <v>99</v>
      </c>
      <c r="K15" s="27" t="n">
        <v>38.5</v>
      </c>
      <c r="L15" s="28">
        <f>G15*J15</f>
        <v/>
      </c>
      <c r="M15" s="28">
        <f>F15*K15</f>
        <v/>
      </c>
      <c r="N15" s="29">
        <f>H15+ROW()/1000000</f>
        <v/>
      </c>
    </row>
    <row r="16" ht="20" customHeight="1">
      <c r="A16" s="19" t="inlineStr">
        <is>
          <t>SK-7203</t>
        </is>
      </c>
      <c r="B16" s="18" t="inlineStr">
        <is>
          <t>חצאית מידי</t>
        </is>
      </c>
      <c r="C16" s="19" t="inlineStr">
        <is>
          <t>S</t>
        </is>
      </c>
      <c r="D16" s="18" t="inlineStr">
        <is>
          <t>חצאיות</t>
        </is>
      </c>
      <c r="E16" s="18" t="inlineStr">
        <is>
          <t>גרנד קניון חיפה</t>
        </is>
      </c>
      <c r="F16" s="20" t="n">
        <v>10</v>
      </c>
      <c r="G16" s="20" t="n">
        <v>26</v>
      </c>
      <c r="H16" s="21">
        <f>ROUND(F16/(G16/4.33),1)</f>
        <v/>
      </c>
      <c r="I16" s="19">
        <f>IF(H16&lt;1,"אזל",IF(H16&lt;2,"קריטי",IF(H16&lt;'הנחות ופרמטרים'!$B$10,"נמוך",IF(H16&lt;=12,"תקין","עודף"))))</f>
        <v/>
      </c>
      <c r="J16" s="30" t="n">
        <v>199</v>
      </c>
      <c r="K16" s="30" t="n">
        <v>78</v>
      </c>
      <c r="L16" s="31">
        <f>G16*J16</f>
        <v/>
      </c>
      <c r="M16" s="31">
        <f>F16*K16</f>
        <v/>
      </c>
      <c r="N16" s="29">
        <f>H16+ROW()/1000000</f>
        <v/>
      </c>
    </row>
    <row r="17" ht="20" customHeight="1">
      <c r="A17" s="15" t="inlineStr">
        <is>
          <t>TS-1041</t>
        </is>
      </c>
      <c r="B17" s="14" t="inlineStr">
        <is>
          <t>חולצת טי כותנה</t>
        </is>
      </c>
      <c r="C17" s="15" t="inlineStr">
        <is>
          <t>M</t>
        </is>
      </c>
      <c r="D17" s="14" t="inlineStr">
        <is>
          <t>חולצות</t>
        </is>
      </c>
      <c r="E17" s="14" t="inlineStr">
        <is>
          <t>קניון הקריון</t>
        </is>
      </c>
      <c r="F17" s="16" t="n">
        <v>234</v>
      </c>
      <c r="G17" s="16" t="n">
        <v>118</v>
      </c>
      <c r="H17" s="17">
        <f>ROUND(F17/(G17/4.33),1)</f>
        <v/>
      </c>
      <c r="I17" s="15">
        <f>IF(H17&lt;1,"אזל",IF(H17&lt;2,"קריטי",IF(H17&lt;'הנחות ופרמטרים'!$B$10,"נמוך",IF(H17&lt;=12,"תקין","עודף"))))</f>
        <v/>
      </c>
      <c r="J17" s="27" t="n">
        <v>79.90000000000001</v>
      </c>
      <c r="K17" s="27" t="n">
        <v>24.9</v>
      </c>
      <c r="L17" s="28">
        <f>G17*J17</f>
        <v/>
      </c>
      <c r="M17" s="28">
        <f>F17*K17</f>
        <v/>
      </c>
      <c r="N17" s="29">
        <f>H17+ROW()/1000000</f>
        <v/>
      </c>
    </row>
    <row r="18" ht="20" customHeight="1">
      <c r="A18" s="19" t="inlineStr">
        <is>
          <t>TS-1042</t>
        </is>
      </c>
      <c r="B18" s="18" t="inlineStr">
        <is>
          <t>חולצת טי כותנה</t>
        </is>
      </c>
      <c r="C18" s="19" t="inlineStr">
        <is>
          <t>L</t>
        </is>
      </c>
      <c r="D18" s="18" t="inlineStr">
        <is>
          <t>חולצות</t>
        </is>
      </c>
      <c r="E18" s="18" t="inlineStr">
        <is>
          <t>קניון הקריון</t>
        </is>
      </c>
      <c r="F18" s="20" t="n">
        <v>67</v>
      </c>
      <c r="G18" s="20" t="n">
        <v>229</v>
      </c>
      <c r="H18" s="21">
        <f>ROUND(F18/(G18/4.33),1)</f>
        <v/>
      </c>
      <c r="I18" s="19">
        <f>IF(H18&lt;1,"אזל",IF(H18&lt;2,"קריטי",IF(H18&lt;'הנחות ופרמטרים'!$B$10,"נמוך",IF(H18&lt;=12,"תקין","עודף"))))</f>
        <v/>
      </c>
      <c r="J18" s="30" t="n">
        <v>79.90000000000001</v>
      </c>
      <c r="K18" s="30" t="n">
        <v>24.9</v>
      </c>
      <c r="L18" s="31">
        <f>G18*J18</f>
        <v/>
      </c>
      <c r="M18" s="31">
        <f>F18*K18</f>
        <v/>
      </c>
      <c r="N18" s="29">
        <f>H18+ROW()/1000000</f>
        <v/>
      </c>
    </row>
    <row r="19" ht="20" customHeight="1">
      <c r="A19" s="15" t="inlineStr">
        <is>
          <t>SH-2210</t>
        </is>
      </c>
      <c r="B19" s="14" t="inlineStr">
        <is>
          <t>חולצה מכופתרת פשתן</t>
        </is>
      </c>
      <c r="C19" s="15" t="inlineStr">
        <is>
          <t>L</t>
        </is>
      </c>
      <c r="D19" s="14" t="inlineStr">
        <is>
          <t>חולצות</t>
        </is>
      </c>
      <c r="E19" s="14" t="inlineStr">
        <is>
          <t>קניון הקריון</t>
        </is>
      </c>
      <c r="F19" s="16" t="n">
        <v>156</v>
      </c>
      <c r="G19" s="16" t="n">
        <v>61</v>
      </c>
      <c r="H19" s="17">
        <f>ROUND(F19/(G19/4.33),1)</f>
        <v/>
      </c>
      <c r="I19" s="15">
        <f>IF(H19&lt;1,"אזל",IF(H19&lt;2,"קריטי",IF(H19&lt;'הנחות ופרמטרים'!$B$10,"נמוך",IF(H19&lt;=12,"תקין","עודף"))))</f>
        <v/>
      </c>
      <c r="J19" s="27" t="n">
        <v>189</v>
      </c>
      <c r="K19" s="27" t="n">
        <v>68</v>
      </c>
      <c r="L19" s="28">
        <f>G19*J19</f>
        <v/>
      </c>
      <c r="M19" s="28">
        <f>F19*K19</f>
        <v/>
      </c>
      <c r="N19" s="29">
        <f>H19+ROW()/1000000</f>
        <v/>
      </c>
    </row>
    <row r="20" ht="20" customHeight="1">
      <c r="A20" s="19" t="inlineStr">
        <is>
          <t>JN-3305</t>
        </is>
      </c>
      <c r="B20" s="18" t="inlineStr">
        <is>
          <t>מכנסי ג׳ינס סלים</t>
        </is>
      </c>
      <c r="C20" s="19" t="inlineStr">
        <is>
          <t>32</t>
        </is>
      </c>
      <c r="D20" s="18" t="inlineStr">
        <is>
          <t>מכנסיים</t>
        </is>
      </c>
      <c r="E20" s="18" t="inlineStr">
        <is>
          <t>קניון הקריון</t>
        </is>
      </c>
      <c r="F20" s="20" t="n">
        <v>6</v>
      </c>
      <c r="G20" s="20" t="n">
        <v>54</v>
      </c>
      <c r="H20" s="21">
        <f>ROUND(F20/(G20/4.33),1)</f>
        <v/>
      </c>
      <c r="I20" s="19">
        <f>IF(H20&lt;1,"אזל",IF(H20&lt;2,"קריטי",IF(H20&lt;'הנחות ופרמטרים'!$B$10,"נמוך",IF(H20&lt;=12,"תקין","עודף"))))</f>
        <v/>
      </c>
      <c r="J20" s="30" t="n">
        <v>249</v>
      </c>
      <c r="K20" s="30" t="n">
        <v>96.5</v>
      </c>
      <c r="L20" s="31">
        <f>G20*J20</f>
        <v/>
      </c>
      <c r="M20" s="31">
        <f>F20*K20</f>
        <v/>
      </c>
      <c r="N20" s="29">
        <f>H20+ROW()/1000000</f>
        <v/>
      </c>
    </row>
    <row r="21" ht="20" customHeight="1">
      <c r="A21" s="15" t="inlineStr">
        <is>
          <t>JN-3307</t>
        </is>
      </c>
      <c r="B21" s="14" t="inlineStr">
        <is>
          <t>מכנסי ג׳ינס ישר</t>
        </is>
      </c>
      <c r="C21" s="15" t="inlineStr">
        <is>
          <t>34</t>
        </is>
      </c>
      <c r="D21" s="14" t="inlineStr">
        <is>
          <t>מכנסיים</t>
        </is>
      </c>
      <c r="E21" s="14" t="inlineStr">
        <is>
          <t>קניון הקריון</t>
        </is>
      </c>
      <c r="F21" s="16" t="n">
        <v>267</v>
      </c>
      <c r="G21" s="16" t="n">
        <v>80</v>
      </c>
      <c r="H21" s="17">
        <f>ROUND(F21/(G21/4.33),1)</f>
        <v/>
      </c>
      <c r="I21" s="15">
        <f>IF(H21&lt;1,"אזל",IF(H21&lt;2,"קריטי",IF(H21&lt;'הנחות ופרמטרים'!$B$10,"נמוך",IF(H21&lt;=12,"תקין","עודף"))))</f>
        <v/>
      </c>
      <c r="J21" s="27" t="n">
        <v>249</v>
      </c>
      <c r="K21" s="27" t="n">
        <v>96.5</v>
      </c>
      <c r="L21" s="28">
        <f>G21*J21</f>
        <v/>
      </c>
      <c r="M21" s="28">
        <f>F21*K21</f>
        <v/>
      </c>
      <c r="N21" s="29">
        <f>H21+ROW()/1000000</f>
        <v/>
      </c>
    </row>
    <row r="22" ht="20" customHeight="1">
      <c r="A22" s="19" t="inlineStr">
        <is>
          <t>DR-4102</t>
        </is>
      </c>
      <c r="B22" s="18" t="inlineStr">
        <is>
          <t>שמלת קיץ פרחונית</t>
        </is>
      </c>
      <c r="C22" s="19" t="inlineStr">
        <is>
          <t>S</t>
        </is>
      </c>
      <c r="D22" s="18" t="inlineStr">
        <is>
          <t>שמלות</t>
        </is>
      </c>
      <c r="E22" s="18" t="inlineStr">
        <is>
          <t>קניון הקריון</t>
        </is>
      </c>
      <c r="F22" s="20" t="n">
        <v>42</v>
      </c>
      <c r="G22" s="20" t="n">
        <v>44</v>
      </c>
      <c r="H22" s="21">
        <f>ROUND(F22/(G22/4.33),1)</f>
        <v/>
      </c>
      <c r="I22" s="19">
        <f>IF(H22&lt;1,"אזל",IF(H22&lt;2,"קריטי",IF(H22&lt;'הנחות ופרמטרים'!$B$10,"נמוך",IF(H22&lt;=12,"תקין","עודף"))))</f>
        <v/>
      </c>
      <c r="J22" s="30" t="n">
        <v>279</v>
      </c>
      <c r="K22" s="30" t="n">
        <v>112</v>
      </c>
      <c r="L22" s="31">
        <f>G22*J22</f>
        <v/>
      </c>
      <c r="M22" s="31">
        <f>F22*K22</f>
        <v/>
      </c>
      <c r="N22" s="29">
        <f>H22+ROW()/1000000</f>
        <v/>
      </c>
    </row>
    <row r="23" ht="20" customHeight="1">
      <c r="A23" s="15" t="inlineStr">
        <is>
          <t>DR-4108</t>
        </is>
      </c>
      <c r="B23" s="14" t="inlineStr">
        <is>
          <t>שמלת ערב</t>
        </is>
      </c>
      <c r="C23" s="15" t="inlineStr">
        <is>
          <t>M</t>
        </is>
      </c>
      <c r="D23" s="14" t="inlineStr">
        <is>
          <t>שמלות</t>
        </is>
      </c>
      <c r="E23" s="14" t="inlineStr">
        <is>
          <t>קניון הקריון</t>
        </is>
      </c>
      <c r="F23" s="16" t="n">
        <v>40</v>
      </c>
      <c r="G23" s="16" t="n">
        <v>13</v>
      </c>
      <c r="H23" s="17">
        <f>ROUND(F23/(G23/4.33),1)</f>
        <v/>
      </c>
      <c r="I23" s="15">
        <f>IF(H23&lt;1,"אזל",IF(H23&lt;2,"קריטי",IF(H23&lt;'הנחות ופרמטרים'!$B$10,"נמוך",IF(H23&lt;=12,"תקין","עודף"))))</f>
        <v/>
      </c>
      <c r="J23" s="27" t="n">
        <v>590</v>
      </c>
      <c r="K23" s="27" t="n">
        <v>245</v>
      </c>
      <c r="L23" s="28">
        <f>G23*J23</f>
        <v/>
      </c>
      <c r="M23" s="28">
        <f>F23*K23</f>
        <v/>
      </c>
      <c r="N23" s="29">
        <f>H23+ROW()/1000000</f>
        <v/>
      </c>
    </row>
    <row r="24" ht="20" customHeight="1">
      <c r="A24" s="19" t="inlineStr">
        <is>
          <t>JK-5501</t>
        </is>
      </c>
      <c r="B24" s="18" t="inlineStr">
        <is>
          <t>מעיל חורף מרופד</t>
        </is>
      </c>
      <c r="C24" s="19" t="inlineStr">
        <is>
          <t>XL</t>
        </is>
      </c>
      <c r="D24" s="18" t="inlineStr">
        <is>
          <t>מעילים</t>
        </is>
      </c>
      <c r="E24" s="18" t="inlineStr">
        <is>
          <t>קניון הקריון</t>
        </is>
      </c>
      <c r="F24" s="20" t="n">
        <v>42</v>
      </c>
      <c r="G24" s="20" t="n">
        <v>31</v>
      </c>
      <c r="H24" s="21">
        <f>ROUND(F24/(G24/4.33),1)</f>
        <v/>
      </c>
      <c r="I24" s="19">
        <f>IF(H24&lt;1,"אזל",IF(H24&lt;2,"קריטי",IF(H24&lt;'הנחות ופרמטרים'!$B$10,"נמוך",IF(H24&lt;=12,"תקין","עודף"))))</f>
        <v/>
      </c>
      <c r="J24" s="30" t="n">
        <v>449</v>
      </c>
      <c r="K24" s="30" t="n">
        <v>189</v>
      </c>
      <c r="L24" s="31">
        <f>G24*J24</f>
        <v/>
      </c>
      <c r="M24" s="31">
        <f>F24*K24</f>
        <v/>
      </c>
      <c r="N24" s="29">
        <f>H24+ROW()/1000000</f>
        <v/>
      </c>
    </row>
    <row r="25" ht="20" customHeight="1">
      <c r="A25" s="15" t="inlineStr">
        <is>
          <t>JK-5504</t>
        </is>
      </c>
      <c r="B25" s="14" t="inlineStr">
        <is>
          <t>ג׳קט ג׳ינס</t>
        </is>
      </c>
      <c r="C25" s="15" t="inlineStr">
        <is>
          <t>M</t>
        </is>
      </c>
      <c r="D25" s="14" t="inlineStr">
        <is>
          <t>מעילים</t>
        </is>
      </c>
      <c r="E25" s="14" t="inlineStr">
        <is>
          <t>קניון הקריון</t>
        </is>
      </c>
      <c r="F25" s="16" t="n">
        <v>29</v>
      </c>
      <c r="G25" s="16" t="n">
        <v>34</v>
      </c>
      <c r="H25" s="17">
        <f>ROUND(F25/(G25/4.33),1)</f>
        <v/>
      </c>
      <c r="I25" s="15">
        <f>IF(H25&lt;1,"אזל",IF(H25&lt;2,"קריטי",IF(H25&lt;'הנחות ופרמטרים'!$B$10,"נמוך",IF(H25&lt;=12,"תקין","עודף"))))</f>
        <v/>
      </c>
      <c r="J25" s="27" t="n">
        <v>379</v>
      </c>
      <c r="K25" s="27" t="n">
        <v>154</v>
      </c>
      <c r="L25" s="28">
        <f>G25*J25</f>
        <v/>
      </c>
      <c r="M25" s="28">
        <f>F25*K25</f>
        <v/>
      </c>
      <c r="N25" s="29">
        <f>H25+ROW()/1000000</f>
        <v/>
      </c>
    </row>
    <row r="26" ht="20" customHeight="1">
      <c r="A26" s="19" t="inlineStr">
        <is>
          <t>AC-6001</t>
        </is>
      </c>
      <c r="B26" s="18" t="inlineStr">
        <is>
          <t>חגורת עור</t>
        </is>
      </c>
      <c r="C26" s="19" t="inlineStr">
        <is>
          <t>יחיד</t>
        </is>
      </c>
      <c r="D26" s="18" t="inlineStr">
        <is>
          <t>אביזרים</t>
        </is>
      </c>
      <c r="E26" s="18" t="inlineStr">
        <is>
          <t>קניון הקריון</t>
        </is>
      </c>
      <c r="F26" s="20" t="n">
        <v>113</v>
      </c>
      <c r="G26" s="20" t="n">
        <v>63</v>
      </c>
      <c r="H26" s="21">
        <f>ROUND(F26/(G26/4.33),1)</f>
        <v/>
      </c>
      <c r="I26" s="19">
        <f>IF(H26&lt;1,"אזל",IF(H26&lt;2,"קריטי",IF(H26&lt;'הנחות ופרמטרים'!$B$10,"נמוך",IF(H26&lt;=12,"תקין","עודף"))))</f>
        <v/>
      </c>
      <c r="J26" s="30" t="n">
        <v>119</v>
      </c>
      <c r="K26" s="30" t="n">
        <v>42</v>
      </c>
      <c r="L26" s="31">
        <f>G26*J26</f>
        <v/>
      </c>
      <c r="M26" s="31">
        <f>F26*K26</f>
        <v/>
      </c>
      <c r="N26" s="29">
        <f>H26+ROW()/1000000</f>
        <v/>
      </c>
    </row>
    <row r="27" ht="20" customHeight="1">
      <c r="A27" s="15" t="inlineStr">
        <is>
          <t>AC-6014</t>
        </is>
      </c>
      <c r="B27" s="14" t="inlineStr">
        <is>
          <t>צעיף צמר</t>
        </is>
      </c>
      <c r="C27" s="15" t="inlineStr">
        <is>
          <t>יחיד</t>
        </is>
      </c>
      <c r="D27" s="14" t="inlineStr">
        <is>
          <t>אביזרים</t>
        </is>
      </c>
      <c r="E27" s="14" t="inlineStr">
        <is>
          <t>קניון הקריון</t>
        </is>
      </c>
      <c r="F27" s="16" t="n">
        <v>113</v>
      </c>
      <c r="G27" s="16" t="n">
        <v>21</v>
      </c>
      <c r="H27" s="17">
        <f>ROUND(F27/(G27/4.33),1)</f>
        <v/>
      </c>
      <c r="I27" s="15">
        <f>IF(H27&lt;1,"אזל",IF(H27&lt;2,"קריטי",IF(H27&lt;'הנחות ופרמטרים'!$B$10,"נמוך",IF(H27&lt;=12,"תקין","עודף"))))</f>
        <v/>
      </c>
      <c r="J27" s="27" t="n">
        <v>99</v>
      </c>
      <c r="K27" s="27" t="n">
        <v>38.5</v>
      </c>
      <c r="L27" s="28">
        <f>G27*J27</f>
        <v/>
      </c>
      <c r="M27" s="28">
        <f>F27*K27</f>
        <v/>
      </c>
      <c r="N27" s="29">
        <f>H27+ROW()/1000000</f>
        <v/>
      </c>
    </row>
    <row r="28" ht="20" customHeight="1">
      <c r="A28" s="19" t="inlineStr">
        <is>
          <t>SK-7203</t>
        </is>
      </c>
      <c r="B28" s="18" t="inlineStr">
        <is>
          <t>חצאית מידי</t>
        </is>
      </c>
      <c r="C28" s="19" t="inlineStr">
        <is>
          <t>S</t>
        </is>
      </c>
      <c r="D28" s="18" t="inlineStr">
        <is>
          <t>חצאיות</t>
        </is>
      </c>
      <c r="E28" s="18" t="inlineStr">
        <is>
          <t>קניון הקריון</t>
        </is>
      </c>
      <c r="F28" s="20" t="n">
        <v>9</v>
      </c>
      <c r="G28" s="20" t="n">
        <v>27</v>
      </c>
      <c r="H28" s="21">
        <f>ROUND(F28/(G28/4.33),1)</f>
        <v/>
      </c>
      <c r="I28" s="19">
        <f>IF(H28&lt;1,"אזל",IF(H28&lt;2,"קריטי",IF(H28&lt;'הנחות ופרמטרים'!$B$10,"נמוך",IF(H28&lt;=12,"תקין","עודף"))))</f>
        <v/>
      </c>
      <c r="J28" s="30" t="n">
        <v>199</v>
      </c>
      <c r="K28" s="30" t="n">
        <v>78</v>
      </c>
      <c r="L28" s="31">
        <f>G28*J28</f>
        <v/>
      </c>
      <c r="M28" s="31">
        <f>F28*K28</f>
        <v/>
      </c>
      <c r="N28" s="29">
        <f>H28+ROW()/1000000</f>
        <v/>
      </c>
    </row>
    <row r="29" ht="20" customHeight="1">
      <c r="A29" s="15" t="inlineStr">
        <is>
          <t>TS-1041</t>
        </is>
      </c>
      <c r="B29" s="14" t="inlineStr">
        <is>
          <t>חולצת טי כותנה</t>
        </is>
      </c>
      <c r="C29" s="15" t="inlineStr">
        <is>
          <t>M</t>
        </is>
      </c>
      <c r="D29" s="14" t="inlineStr">
        <is>
          <t>חולצות</t>
        </is>
      </c>
      <c r="E29" s="14" t="inlineStr">
        <is>
          <t>חיפה — הדר</t>
        </is>
      </c>
      <c r="F29" s="16" t="n">
        <v>151</v>
      </c>
      <c r="G29" s="16" t="n">
        <v>84</v>
      </c>
      <c r="H29" s="17">
        <f>ROUND(F29/(G29/4.33),1)</f>
        <v/>
      </c>
      <c r="I29" s="15">
        <f>IF(H29&lt;1,"אזל",IF(H29&lt;2,"קריטי",IF(H29&lt;'הנחות ופרמטרים'!$B$10,"נמוך",IF(H29&lt;=12,"תקין","עודף"))))</f>
        <v/>
      </c>
      <c r="J29" s="27" t="n">
        <v>79.90000000000001</v>
      </c>
      <c r="K29" s="27" t="n">
        <v>24.9</v>
      </c>
      <c r="L29" s="28">
        <f>G29*J29</f>
        <v/>
      </c>
      <c r="M29" s="28">
        <f>F29*K29</f>
        <v/>
      </c>
      <c r="N29" s="29">
        <f>H29+ROW()/1000000</f>
        <v/>
      </c>
    </row>
    <row r="30" ht="20" customHeight="1">
      <c r="A30" s="19" t="inlineStr">
        <is>
          <t>TS-1042</t>
        </is>
      </c>
      <c r="B30" s="18" t="inlineStr">
        <is>
          <t>חולצת טי כותנה</t>
        </is>
      </c>
      <c r="C30" s="19" t="inlineStr">
        <is>
          <t>L</t>
        </is>
      </c>
      <c r="D30" s="18" t="inlineStr">
        <is>
          <t>חולצות</t>
        </is>
      </c>
      <c r="E30" s="18" t="inlineStr">
        <is>
          <t>חיפה — הדר</t>
        </is>
      </c>
      <c r="F30" s="20" t="n">
        <v>18</v>
      </c>
      <c r="G30" s="20" t="n">
        <v>74</v>
      </c>
      <c r="H30" s="21">
        <f>ROUND(F30/(G30/4.33),1)</f>
        <v/>
      </c>
      <c r="I30" s="19">
        <f>IF(H30&lt;1,"אזל",IF(H30&lt;2,"קריטי",IF(H30&lt;'הנחות ופרמטרים'!$B$10,"נמוך",IF(H30&lt;=12,"תקין","עודף"))))</f>
        <v/>
      </c>
      <c r="J30" s="30" t="n">
        <v>79.90000000000001</v>
      </c>
      <c r="K30" s="30" t="n">
        <v>24.9</v>
      </c>
      <c r="L30" s="31">
        <f>G30*J30</f>
        <v/>
      </c>
      <c r="M30" s="31">
        <f>F30*K30</f>
        <v/>
      </c>
      <c r="N30" s="29">
        <f>H30+ROW()/1000000</f>
        <v/>
      </c>
    </row>
    <row r="31" ht="20" customHeight="1">
      <c r="A31" s="15" t="inlineStr">
        <is>
          <t>SH-2210</t>
        </is>
      </c>
      <c r="B31" s="14" t="inlineStr">
        <is>
          <t>חולצה מכופתרת פשתן</t>
        </is>
      </c>
      <c r="C31" s="15" t="inlineStr">
        <is>
          <t>L</t>
        </is>
      </c>
      <c r="D31" s="14" t="inlineStr">
        <is>
          <t>חולצות</t>
        </is>
      </c>
      <c r="E31" s="14" t="inlineStr">
        <is>
          <t>חיפה — הדר</t>
        </is>
      </c>
      <c r="F31" s="16" t="n">
        <v>96</v>
      </c>
      <c r="G31" s="16" t="n">
        <v>42</v>
      </c>
      <c r="H31" s="17">
        <f>ROUND(F31/(G31/4.33),1)</f>
        <v/>
      </c>
      <c r="I31" s="15">
        <f>IF(H31&lt;1,"אזל",IF(H31&lt;2,"קריטי",IF(H31&lt;'הנחות ופרמטרים'!$B$10,"נמוך",IF(H31&lt;=12,"תקין","עודף"))))</f>
        <v/>
      </c>
      <c r="J31" s="27" t="n">
        <v>189</v>
      </c>
      <c r="K31" s="27" t="n">
        <v>68</v>
      </c>
      <c r="L31" s="28">
        <f>G31*J31</f>
        <v/>
      </c>
      <c r="M31" s="28">
        <f>F31*K31</f>
        <v/>
      </c>
      <c r="N31" s="29">
        <f>H31+ROW()/1000000</f>
        <v/>
      </c>
    </row>
    <row r="32" ht="20" customHeight="1">
      <c r="A32" s="19" t="inlineStr">
        <is>
          <t>JN-3305</t>
        </is>
      </c>
      <c r="B32" s="18" t="inlineStr">
        <is>
          <t>מכנסי ג׳ינס סלים</t>
        </is>
      </c>
      <c r="C32" s="19" t="inlineStr">
        <is>
          <t>32</t>
        </is>
      </c>
      <c r="D32" s="18" t="inlineStr">
        <is>
          <t>מכנסיים</t>
        </is>
      </c>
      <c r="E32" s="18" t="inlineStr">
        <is>
          <t>חיפה — הדר</t>
        </is>
      </c>
      <c r="F32" s="20" t="n">
        <v>9</v>
      </c>
      <c r="G32" s="20" t="n">
        <v>39</v>
      </c>
      <c r="H32" s="21">
        <f>ROUND(F32/(G32/4.33),1)</f>
        <v/>
      </c>
      <c r="I32" s="19">
        <f>IF(H32&lt;1,"אזל",IF(H32&lt;2,"קריטי",IF(H32&lt;'הנחות ופרמטרים'!$B$10,"נמוך",IF(H32&lt;=12,"תקין","עודף"))))</f>
        <v/>
      </c>
      <c r="J32" s="30" t="n">
        <v>249</v>
      </c>
      <c r="K32" s="30" t="n">
        <v>96.5</v>
      </c>
      <c r="L32" s="31">
        <f>G32*J32</f>
        <v/>
      </c>
      <c r="M32" s="31">
        <f>F32*K32</f>
        <v/>
      </c>
      <c r="N32" s="29">
        <f>H32+ROW()/1000000</f>
        <v/>
      </c>
    </row>
    <row r="33" ht="20" customHeight="1">
      <c r="A33" s="15" t="inlineStr">
        <is>
          <t>JN-3307</t>
        </is>
      </c>
      <c r="B33" s="14" t="inlineStr">
        <is>
          <t>מכנסי ג׳ינס ישר</t>
        </is>
      </c>
      <c r="C33" s="15" t="inlineStr">
        <is>
          <t>34</t>
        </is>
      </c>
      <c r="D33" s="14" t="inlineStr">
        <is>
          <t>מכנסיים</t>
        </is>
      </c>
      <c r="E33" s="14" t="inlineStr">
        <is>
          <t>חיפה — הדר</t>
        </is>
      </c>
      <c r="F33" s="16" t="n">
        <v>157</v>
      </c>
      <c r="G33" s="16" t="n">
        <v>54</v>
      </c>
      <c r="H33" s="17">
        <f>ROUND(F33/(G33/4.33),1)</f>
        <v/>
      </c>
      <c r="I33" s="15">
        <f>IF(H33&lt;1,"אזל",IF(H33&lt;2,"קריטי",IF(H33&lt;'הנחות ופרמטרים'!$B$10,"נמוך",IF(H33&lt;=12,"תקין","עודף"))))</f>
        <v/>
      </c>
      <c r="J33" s="27" t="n">
        <v>249</v>
      </c>
      <c r="K33" s="27" t="n">
        <v>96.5</v>
      </c>
      <c r="L33" s="28">
        <f>G33*J33</f>
        <v/>
      </c>
      <c r="M33" s="28">
        <f>F33*K33</f>
        <v/>
      </c>
      <c r="N33" s="29">
        <f>H33+ROW()/1000000</f>
        <v/>
      </c>
    </row>
    <row r="34" ht="20" customHeight="1">
      <c r="A34" s="19" t="inlineStr">
        <is>
          <t>DR-4102</t>
        </is>
      </c>
      <c r="B34" s="18" t="inlineStr">
        <is>
          <t>שמלת קיץ פרחונית</t>
        </is>
      </c>
      <c r="C34" s="19" t="inlineStr">
        <is>
          <t>S</t>
        </is>
      </c>
      <c r="D34" s="18" t="inlineStr">
        <is>
          <t>שמלות</t>
        </is>
      </c>
      <c r="E34" s="18" t="inlineStr">
        <is>
          <t>חיפה — הדר</t>
        </is>
      </c>
      <c r="F34" s="20" t="n">
        <v>26</v>
      </c>
      <c r="G34" s="20" t="n">
        <v>31</v>
      </c>
      <c r="H34" s="21">
        <f>ROUND(F34/(G34/4.33),1)</f>
        <v/>
      </c>
      <c r="I34" s="19">
        <f>IF(H34&lt;1,"אזל",IF(H34&lt;2,"קריטי",IF(H34&lt;'הנחות ופרמטרים'!$B$10,"נמוך",IF(H34&lt;=12,"תקין","עודף"))))</f>
        <v/>
      </c>
      <c r="J34" s="30" t="n">
        <v>279</v>
      </c>
      <c r="K34" s="30" t="n">
        <v>112</v>
      </c>
      <c r="L34" s="31">
        <f>G34*J34</f>
        <v/>
      </c>
      <c r="M34" s="31">
        <f>F34*K34</f>
        <v/>
      </c>
      <c r="N34" s="29">
        <f>H34+ROW()/1000000</f>
        <v/>
      </c>
    </row>
    <row r="35" ht="20" customHeight="1">
      <c r="A35" s="15" t="inlineStr">
        <is>
          <t>DR-4108</t>
        </is>
      </c>
      <c r="B35" s="14" t="inlineStr">
        <is>
          <t>שמלת ערב</t>
        </is>
      </c>
      <c r="C35" s="15" t="inlineStr">
        <is>
          <t>M</t>
        </is>
      </c>
      <c r="D35" s="14" t="inlineStr">
        <is>
          <t>שמלות</t>
        </is>
      </c>
      <c r="E35" s="14" t="inlineStr">
        <is>
          <t>חיפה — הדר</t>
        </is>
      </c>
      <c r="F35" s="16" t="n">
        <v>26</v>
      </c>
      <c r="G35" s="16" t="n">
        <v>10</v>
      </c>
      <c r="H35" s="17">
        <f>ROUND(F35/(G35/4.33),1)</f>
        <v/>
      </c>
      <c r="I35" s="15">
        <f>IF(H35&lt;1,"אזל",IF(H35&lt;2,"קריטי",IF(H35&lt;'הנחות ופרמטרים'!$B$10,"נמוך",IF(H35&lt;=12,"תקין","עודף"))))</f>
        <v/>
      </c>
      <c r="J35" s="27" t="n">
        <v>590</v>
      </c>
      <c r="K35" s="27" t="n">
        <v>245</v>
      </c>
      <c r="L35" s="28">
        <f>G35*J35</f>
        <v/>
      </c>
      <c r="M35" s="28">
        <f>F35*K35</f>
        <v/>
      </c>
      <c r="N35" s="29">
        <f>H35+ROW()/1000000</f>
        <v/>
      </c>
    </row>
    <row r="36" ht="20" customHeight="1">
      <c r="A36" s="19" t="inlineStr">
        <is>
          <t>JK-5501</t>
        </is>
      </c>
      <c r="B36" s="18" t="inlineStr">
        <is>
          <t>מעיל חורף מרופד</t>
        </is>
      </c>
      <c r="C36" s="19" t="inlineStr">
        <is>
          <t>XL</t>
        </is>
      </c>
      <c r="D36" s="18" t="inlineStr">
        <is>
          <t>מעילים</t>
        </is>
      </c>
      <c r="E36" s="18" t="inlineStr">
        <is>
          <t>חיפה — הדר</t>
        </is>
      </c>
      <c r="F36" s="20" t="n">
        <v>25</v>
      </c>
      <c r="G36" s="20" t="n">
        <v>21</v>
      </c>
      <c r="H36" s="21">
        <f>ROUND(F36/(G36/4.33),1)</f>
        <v/>
      </c>
      <c r="I36" s="19">
        <f>IF(H36&lt;1,"אזל",IF(H36&lt;2,"קריטי",IF(H36&lt;'הנחות ופרמטרים'!$B$10,"נמוך",IF(H36&lt;=12,"תקין","עודף"))))</f>
        <v/>
      </c>
      <c r="J36" s="30" t="n">
        <v>449</v>
      </c>
      <c r="K36" s="30" t="n">
        <v>189</v>
      </c>
      <c r="L36" s="31">
        <f>G36*J36</f>
        <v/>
      </c>
      <c r="M36" s="31">
        <f>F36*K36</f>
        <v/>
      </c>
      <c r="N36" s="29">
        <f>H36+ROW()/1000000</f>
        <v/>
      </c>
    </row>
    <row r="37" ht="20" customHeight="1">
      <c r="A37" s="15" t="inlineStr">
        <is>
          <t>JK-5504</t>
        </is>
      </c>
      <c r="B37" s="14" t="inlineStr">
        <is>
          <t>ג׳קט ג׳ינס</t>
        </is>
      </c>
      <c r="C37" s="15" t="inlineStr">
        <is>
          <t>M</t>
        </is>
      </c>
      <c r="D37" s="14" t="inlineStr">
        <is>
          <t>מעילים</t>
        </is>
      </c>
      <c r="E37" s="14" t="inlineStr">
        <is>
          <t>חיפה — הדר</t>
        </is>
      </c>
      <c r="F37" s="16" t="n">
        <v>19</v>
      </c>
      <c r="G37" s="16" t="n">
        <v>24</v>
      </c>
      <c r="H37" s="17">
        <f>ROUND(F37/(G37/4.33),1)</f>
        <v/>
      </c>
      <c r="I37" s="15">
        <f>IF(H37&lt;1,"אזל",IF(H37&lt;2,"קריטי",IF(H37&lt;'הנחות ופרמטרים'!$B$10,"נמוך",IF(H37&lt;=12,"תקין","עודף"))))</f>
        <v/>
      </c>
      <c r="J37" s="27" t="n">
        <v>379</v>
      </c>
      <c r="K37" s="27" t="n">
        <v>154</v>
      </c>
      <c r="L37" s="28">
        <f>G37*J37</f>
        <v/>
      </c>
      <c r="M37" s="28">
        <f>F37*K37</f>
        <v/>
      </c>
      <c r="N37" s="29">
        <f>H37+ROW()/1000000</f>
        <v/>
      </c>
    </row>
    <row r="38" ht="20" customHeight="1">
      <c r="A38" s="19" t="inlineStr">
        <is>
          <t>AC-6001</t>
        </is>
      </c>
      <c r="B38" s="18" t="inlineStr">
        <is>
          <t>חגורת עור</t>
        </is>
      </c>
      <c r="C38" s="19" t="inlineStr">
        <is>
          <t>יחיד</t>
        </is>
      </c>
      <c r="D38" s="18" t="inlineStr">
        <is>
          <t>אביזרים</t>
        </is>
      </c>
      <c r="E38" s="18" t="inlineStr">
        <is>
          <t>חיפה — הדר</t>
        </is>
      </c>
      <c r="F38" s="20" t="n">
        <v>32</v>
      </c>
      <c r="G38" s="20" t="n">
        <v>21</v>
      </c>
      <c r="H38" s="21">
        <f>ROUND(F38/(G38/4.33),1)</f>
        <v/>
      </c>
      <c r="I38" s="19">
        <f>IF(H38&lt;1,"אזל",IF(H38&lt;2,"קריטי",IF(H38&lt;'הנחות ופרמטרים'!$B$10,"נמוך",IF(H38&lt;=12,"תקין","עודף"))))</f>
        <v/>
      </c>
      <c r="J38" s="30" t="n">
        <v>119</v>
      </c>
      <c r="K38" s="30" t="n">
        <v>42</v>
      </c>
      <c r="L38" s="31">
        <f>G38*J38</f>
        <v/>
      </c>
      <c r="M38" s="31">
        <f>F38*K38</f>
        <v/>
      </c>
      <c r="N38" s="29">
        <f>H38+ROW()/1000000</f>
        <v/>
      </c>
    </row>
    <row r="39" ht="20" customHeight="1">
      <c r="A39" s="15" t="inlineStr">
        <is>
          <t>AC-6014</t>
        </is>
      </c>
      <c r="B39" s="14" t="inlineStr">
        <is>
          <t>צעיף צמר</t>
        </is>
      </c>
      <c r="C39" s="15" t="inlineStr">
        <is>
          <t>יחיד</t>
        </is>
      </c>
      <c r="D39" s="14" t="inlineStr">
        <is>
          <t>אביזרים</t>
        </is>
      </c>
      <c r="E39" s="14" t="inlineStr">
        <is>
          <t>חיפה — הדר</t>
        </is>
      </c>
      <c r="F39" s="16" t="n">
        <v>68</v>
      </c>
      <c r="G39" s="16" t="n">
        <v>14</v>
      </c>
      <c r="H39" s="17">
        <f>ROUND(F39/(G39/4.33),1)</f>
        <v/>
      </c>
      <c r="I39" s="15">
        <f>IF(H39&lt;1,"אזל",IF(H39&lt;2,"קריטי",IF(H39&lt;'הנחות ופרמטרים'!$B$10,"נמוך",IF(H39&lt;=12,"תקין","עודף"))))</f>
        <v/>
      </c>
      <c r="J39" s="27" t="n">
        <v>99</v>
      </c>
      <c r="K39" s="27" t="n">
        <v>38.5</v>
      </c>
      <c r="L39" s="28">
        <f>G39*J39</f>
        <v/>
      </c>
      <c r="M39" s="28">
        <f>F39*K39</f>
        <v/>
      </c>
      <c r="N39" s="29">
        <f>H39+ROW()/1000000</f>
        <v/>
      </c>
    </row>
    <row r="40" ht="20" customHeight="1">
      <c r="A40" s="19" t="inlineStr">
        <is>
          <t>SK-7203</t>
        </is>
      </c>
      <c r="B40" s="18" t="inlineStr">
        <is>
          <t>חצאית מידי</t>
        </is>
      </c>
      <c r="C40" s="19" t="inlineStr">
        <is>
          <t>S</t>
        </is>
      </c>
      <c r="D40" s="18" t="inlineStr">
        <is>
          <t>חצאיות</t>
        </is>
      </c>
      <c r="E40" s="18" t="inlineStr">
        <is>
          <t>חיפה — הדר</t>
        </is>
      </c>
      <c r="F40" s="20" t="n">
        <v>12</v>
      </c>
      <c r="G40" s="20" t="n">
        <v>19</v>
      </c>
      <c r="H40" s="21">
        <f>ROUND(F40/(G40/4.33),1)</f>
        <v/>
      </c>
      <c r="I40" s="19">
        <f>IF(H40&lt;1,"אזל",IF(H40&lt;2,"קריטי",IF(H40&lt;'הנחות ופרמטרים'!$B$10,"נמוך",IF(H40&lt;=12,"תקין","עודף"))))</f>
        <v/>
      </c>
      <c r="J40" s="30" t="n">
        <v>199</v>
      </c>
      <c r="K40" s="30" t="n">
        <v>78</v>
      </c>
      <c r="L40" s="31">
        <f>G40*J40</f>
        <v/>
      </c>
      <c r="M40" s="31">
        <f>F40*K40</f>
        <v/>
      </c>
      <c r="N40" s="29">
        <f>H40+ROW()/1000000</f>
        <v/>
      </c>
    </row>
    <row r="41" ht="20" customHeight="1">
      <c r="A41" s="15" t="inlineStr">
        <is>
          <t>TS-1041</t>
        </is>
      </c>
      <c r="B41" s="14" t="inlineStr">
        <is>
          <t>חולצת טי כותנה</t>
        </is>
      </c>
      <c r="C41" s="15" t="inlineStr">
        <is>
          <t>M</t>
        </is>
      </c>
      <c r="D41" s="14" t="inlineStr">
        <is>
          <t>חולצות</t>
        </is>
      </c>
      <c r="E41" s="14" t="inlineStr">
        <is>
          <t>עזריאלי תל אביב</t>
        </is>
      </c>
      <c r="F41" s="16" t="n">
        <v>320</v>
      </c>
      <c r="G41" s="16" t="n">
        <v>198</v>
      </c>
      <c r="H41" s="17">
        <f>ROUND(F41/(G41/4.33),1)</f>
        <v/>
      </c>
      <c r="I41" s="15">
        <f>IF(H41&lt;1,"אזל",IF(H41&lt;2,"קריטי",IF(H41&lt;'הנחות ופרמטרים'!$B$10,"נמוך",IF(H41&lt;=12,"תקין","עודף"))))</f>
        <v/>
      </c>
      <c r="J41" s="27" t="n">
        <v>79.90000000000001</v>
      </c>
      <c r="K41" s="27" t="n">
        <v>24.9</v>
      </c>
      <c r="L41" s="28">
        <f>G41*J41</f>
        <v/>
      </c>
      <c r="M41" s="28">
        <f>F41*K41</f>
        <v/>
      </c>
      <c r="N41" s="29">
        <f>H41+ROW()/1000000</f>
        <v/>
      </c>
    </row>
    <row r="42" ht="20" customHeight="1">
      <c r="A42" s="19" t="inlineStr">
        <is>
          <t>TS-1042</t>
        </is>
      </c>
      <c r="B42" s="18" t="inlineStr">
        <is>
          <t>חולצת טי כותנה</t>
        </is>
      </c>
      <c r="C42" s="19" t="inlineStr">
        <is>
          <t>L</t>
        </is>
      </c>
      <c r="D42" s="18" t="inlineStr">
        <is>
          <t>חולצות</t>
        </is>
      </c>
      <c r="E42" s="18" t="inlineStr">
        <is>
          <t>עזריאלי תל אביב</t>
        </is>
      </c>
      <c r="F42" s="20" t="n">
        <v>89</v>
      </c>
      <c r="G42" s="20" t="n">
        <v>183</v>
      </c>
      <c r="H42" s="21">
        <f>ROUND(F42/(G42/4.33),1)</f>
        <v/>
      </c>
      <c r="I42" s="19">
        <f>IF(H42&lt;1,"אזל",IF(H42&lt;2,"קריטי",IF(H42&lt;'הנחות ופרמטרים'!$B$10,"נמוך",IF(H42&lt;=12,"תקין","עודף"))))</f>
        <v/>
      </c>
      <c r="J42" s="30" t="n">
        <v>79.90000000000001</v>
      </c>
      <c r="K42" s="30" t="n">
        <v>24.9</v>
      </c>
      <c r="L42" s="31">
        <f>G42*J42</f>
        <v/>
      </c>
      <c r="M42" s="31">
        <f>F42*K42</f>
        <v/>
      </c>
      <c r="N42" s="29">
        <f>H42+ROW()/1000000</f>
        <v/>
      </c>
    </row>
    <row r="43" ht="20" customHeight="1">
      <c r="A43" s="15" t="inlineStr">
        <is>
          <t>SH-2210</t>
        </is>
      </c>
      <c r="B43" s="14" t="inlineStr">
        <is>
          <t>חולצה מכופתרת פשתן</t>
        </is>
      </c>
      <c r="C43" s="15" t="inlineStr">
        <is>
          <t>L</t>
        </is>
      </c>
      <c r="D43" s="14" t="inlineStr">
        <is>
          <t>חולצות</t>
        </is>
      </c>
      <c r="E43" s="14" t="inlineStr">
        <is>
          <t>עזריאלי תל אביב</t>
        </is>
      </c>
      <c r="F43" s="16" t="n">
        <v>195</v>
      </c>
      <c r="G43" s="16" t="n">
        <v>97</v>
      </c>
      <c r="H43" s="17">
        <f>ROUND(F43/(G43/4.33),1)</f>
        <v/>
      </c>
      <c r="I43" s="15">
        <f>IF(H43&lt;1,"אזל",IF(H43&lt;2,"קריטי",IF(H43&lt;'הנחות ופרמטרים'!$B$10,"נמוך",IF(H43&lt;=12,"תקין","עודף"))))</f>
        <v/>
      </c>
      <c r="J43" s="27" t="n">
        <v>189</v>
      </c>
      <c r="K43" s="27" t="n">
        <v>68</v>
      </c>
      <c r="L43" s="28">
        <f>G43*J43</f>
        <v/>
      </c>
      <c r="M43" s="28">
        <f>F43*K43</f>
        <v/>
      </c>
      <c r="N43" s="29">
        <f>H43+ROW()/1000000</f>
        <v/>
      </c>
    </row>
    <row r="44" ht="20" customHeight="1">
      <c r="A44" s="19" t="inlineStr">
        <is>
          <t>JN-3305</t>
        </is>
      </c>
      <c r="B44" s="18" t="inlineStr">
        <is>
          <t>מכנסי ג׳ינס סלים</t>
        </is>
      </c>
      <c r="C44" s="19" t="inlineStr">
        <is>
          <t>32</t>
        </is>
      </c>
      <c r="D44" s="18" t="inlineStr">
        <is>
          <t>מכנסיים</t>
        </is>
      </c>
      <c r="E44" s="18" t="inlineStr">
        <is>
          <t>עזריאלי תל אביב</t>
        </is>
      </c>
      <c r="F44" s="20" t="n">
        <v>19</v>
      </c>
      <c r="G44" s="20" t="n">
        <v>92</v>
      </c>
      <c r="H44" s="21">
        <f>ROUND(F44/(G44/4.33),1)</f>
        <v/>
      </c>
      <c r="I44" s="19">
        <f>IF(H44&lt;1,"אזל",IF(H44&lt;2,"קריטי",IF(H44&lt;'הנחות ופרמטרים'!$B$10,"נמוך",IF(H44&lt;=12,"תקין","עודף"))))</f>
        <v/>
      </c>
      <c r="J44" s="30" t="n">
        <v>249</v>
      </c>
      <c r="K44" s="30" t="n">
        <v>96.5</v>
      </c>
      <c r="L44" s="31">
        <f>G44*J44</f>
        <v/>
      </c>
      <c r="M44" s="31">
        <f>F44*K44</f>
        <v/>
      </c>
      <c r="N44" s="29">
        <f>H44+ROW()/1000000</f>
        <v/>
      </c>
    </row>
    <row r="45" ht="20" customHeight="1">
      <c r="A45" s="15" t="inlineStr">
        <is>
          <t>JN-3307</t>
        </is>
      </c>
      <c r="B45" s="14" t="inlineStr">
        <is>
          <t>מכנסי ג׳ינס ישר</t>
        </is>
      </c>
      <c r="C45" s="15" t="inlineStr">
        <is>
          <t>34</t>
        </is>
      </c>
      <c r="D45" s="14" t="inlineStr">
        <is>
          <t>מכנסיים</t>
        </is>
      </c>
      <c r="E45" s="14" t="inlineStr">
        <is>
          <t>עזריאלי תל אביב</t>
        </is>
      </c>
      <c r="F45" s="16" t="n">
        <v>154</v>
      </c>
      <c r="G45" s="16" t="n">
        <v>62</v>
      </c>
      <c r="H45" s="17">
        <f>ROUND(F45/(G45/4.33),1)</f>
        <v/>
      </c>
      <c r="I45" s="15">
        <f>IF(H45&lt;1,"אזל",IF(H45&lt;2,"קריטי",IF(H45&lt;'הנחות ופרמטרים'!$B$10,"נמוך",IF(H45&lt;=12,"תקין","עודף"))))</f>
        <v/>
      </c>
      <c r="J45" s="27" t="n">
        <v>249</v>
      </c>
      <c r="K45" s="27" t="n">
        <v>96.5</v>
      </c>
      <c r="L45" s="28">
        <f>G45*J45</f>
        <v/>
      </c>
      <c r="M45" s="28">
        <f>F45*K45</f>
        <v/>
      </c>
      <c r="N45" s="29">
        <f>H45+ROW()/1000000</f>
        <v/>
      </c>
    </row>
    <row r="46" ht="20" customHeight="1">
      <c r="A46" s="19" t="inlineStr">
        <is>
          <t>DR-4102</t>
        </is>
      </c>
      <c r="B46" s="18" t="inlineStr">
        <is>
          <t>שמלת קיץ פרחונית</t>
        </is>
      </c>
      <c r="C46" s="19" t="inlineStr">
        <is>
          <t>S</t>
        </is>
      </c>
      <c r="D46" s="18" t="inlineStr">
        <is>
          <t>שמלות</t>
        </is>
      </c>
      <c r="E46" s="18" t="inlineStr">
        <is>
          <t>עזריאלי תל אביב</t>
        </is>
      </c>
      <c r="F46" s="20" t="n">
        <v>54</v>
      </c>
      <c r="G46" s="20" t="n">
        <v>71</v>
      </c>
      <c r="H46" s="21">
        <f>ROUND(F46/(G46/4.33),1)</f>
        <v/>
      </c>
      <c r="I46" s="19">
        <f>IF(H46&lt;1,"אזל",IF(H46&lt;2,"קריטי",IF(H46&lt;'הנחות ופרמטרים'!$B$10,"נמוך",IF(H46&lt;=12,"תקין","עודף"))))</f>
        <v/>
      </c>
      <c r="J46" s="30" t="n">
        <v>279</v>
      </c>
      <c r="K46" s="30" t="n">
        <v>112</v>
      </c>
      <c r="L46" s="31">
        <f>G46*J46</f>
        <v/>
      </c>
      <c r="M46" s="31">
        <f>F46*K46</f>
        <v/>
      </c>
      <c r="N46" s="29">
        <f>H46+ROW()/1000000</f>
        <v/>
      </c>
    </row>
    <row r="47" ht="20" customHeight="1">
      <c r="A47" s="15" t="inlineStr">
        <is>
          <t>DR-4108</t>
        </is>
      </c>
      <c r="B47" s="14" t="inlineStr">
        <is>
          <t>שמלת ערב</t>
        </is>
      </c>
      <c r="C47" s="15" t="inlineStr">
        <is>
          <t>M</t>
        </is>
      </c>
      <c r="D47" s="14" t="inlineStr">
        <is>
          <t>שמלות</t>
        </is>
      </c>
      <c r="E47" s="14" t="inlineStr">
        <is>
          <t>עזריאלי תל אביב</t>
        </is>
      </c>
      <c r="F47" s="16" t="n">
        <v>122</v>
      </c>
      <c r="G47" s="16" t="n">
        <v>23</v>
      </c>
      <c r="H47" s="17">
        <f>ROUND(F47/(G47/4.33),1)</f>
        <v/>
      </c>
      <c r="I47" s="15">
        <f>IF(H47&lt;1,"אזל",IF(H47&lt;2,"קריטי",IF(H47&lt;'הנחות ופרמטרים'!$B$10,"נמוך",IF(H47&lt;=12,"תקין","עודף"))))</f>
        <v/>
      </c>
      <c r="J47" s="27" t="n">
        <v>590</v>
      </c>
      <c r="K47" s="27" t="n">
        <v>245</v>
      </c>
      <c r="L47" s="28">
        <f>G47*J47</f>
        <v/>
      </c>
      <c r="M47" s="28">
        <f>F47*K47</f>
        <v/>
      </c>
      <c r="N47" s="29">
        <f>H47+ROW()/1000000</f>
        <v/>
      </c>
    </row>
    <row r="48" ht="20" customHeight="1">
      <c r="A48" s="19" t="inlineStr">
        <is>
          <t>JK-5501</t>
        </is>
      </c>
      <c r="B48" s="18" t="inlineStr">
        <is>
          <t>מעיל חורף מרופד</t>
        </is>
      </c>
      <c r="C48" s="19" t="inlineStr">
        <is>
          <t>XL</t>
        </is>
      </c>
      <c r="D48" s="18" t="inlineStr">
        <is>
          <t>מעילים</t>
        </is>
      </c>
      <c r="E48" s="18" t="inlineStr">
        <is>
          <t>עזריאלי תל אביב</t>
        </is>
      </c>
      <c r="F48" s="20" t="n">
        <v>24</v>
      </c>
      <c r="G48" s="20" t="n">
        <v>23</v>
      </c>
      <c r="H48" s="21">
        <f>ROUND(F48/(G48/4.33),1)</f>
        <v/>
      </c>
      <c r="I48" s="19">
        <f>IF(H48&lt;1,"אזל",IF(H48&lt;2,"קריטי",IF(H48&lt;'הנחות ופרמטרים'!$B$10,"נמוך",IF(H48&lt;=12,"תקין","עודף"))))</f>
        <v/>
      </c>
      <c r="J48" s="30" t="n">
        <v>449</v>
      </c>
      <c r="K48" s="30" t="n">
        <v>189</v>
      </c>
      <c r="L48" s="31">
        <f>G48*J48</f>
        <v/>
      </c>
      <c r="M48" s="31">
        <f>F48*K48</f>
        <v/>
      </c>
      <c r="N48" s="29">
        <f>H48+ROW()/1000000</f>
        <v/>
      </c>
    </row>
    <row r="49" ht="20" customHeight="1">
      <c r="A49" s="15" t="inlineStr">
        <is>
          <t>JK-5504</t>
        </is>
      </c>
      <c r="B49" s="14" t="inlineStr">
        <is>
          <t>ג׳קט ג׳ינס</t>
        </is>
      </c>
      <c r="C49" s="15" t="inlineStr">
        <is>
          <t>M</t>
        </is>
      </c>
      <c r="D49" s="14" t="inlineStr">
        <is>
          <t>מעילים</t>
        </is>
      </c>
      <c r="E49" s="14" t="inlineStr">
        <is>
          <t>עזריאלי תל אביב</t>
        </is>
      </c>
      <c r="F49" s="16" t="n">
        <v>41</v>
      </c>
      <c r="G49" s="16" t="n">
        <v>57</v>
      </c>
      <c r="H49" s="17">
        <f>ROUND(F49/(G49/4.33),1)</f>
        <v/>
      </c>
      <c r="I49" s="15">
        <f>IF(H49&lt;1,"אזל",IF(H49&lt;2,"קריטי",IF(H49&lt;'הנחות ופרמטרים'!$B$10,"נמוך",IF(H49&lt;=12,"תקין","עודף"))))</f>
        <v/>
      </c>
      <c r="J49" s="27" t="n">
        <v>379</v>
      </c>
      <c r="K49" s="27" t="n">
        <v>154</v>
      </c>
      <c r="L49" s="28">
        <f>G49*J49</f>
        <v/>
      </c>
      <c r="M49" s="28">
        <f>F49*K49</f>
        <v/>
      </c>
      <c r="N49" s="29">
        <f>H49+ROW()/1000000</f>
        <v/>
      </c>
    </row>
    <row r="50" ht="20" customHeight="1">
      <c r="A50" s="19" t="inlineStr">
        <is>
          <t>AC-6001</t>
        </is>
      </c>
      <c r="B50" s="18" t="inlineStr">
        <is>
          <t>חגורת עור</t>
        </is>
      </c>
      <c r="C50" s="19" t="inlineStr">
        <is>
          <t>יחיד</t>
        </is>
      </c>
      <c r="D50" s="18" t="inlineStr">
        <is>
          <t>אביזרים</t>
        </is>
      </c>
      <c r="E50" s="18" t="inlineStr">
        <is>
          <t>עזריאלי תל אביב</t>
        </is>
      </c>
      <c r="F50" s="20" t="n">
        <v>66</v>
      </c>
      <c r="G50" s="20" t="n">
        <v>51</v>
      </c>
      <c r="H50" s="21">
        <f>ROUND(F50/(G50/4.33),1)</f>
        <v/>
      </c>
      <c r="I50" s="19">
        <f>IF(H50&lt;1,"אזל",IF(H50&lt;2,"קריטי",IF(H50&lt;'הנחות ופרמטרים'!$B$10,"נמוך",IF(H50&lt;=12,"תקין","עודף"))))</f>
        <v/>
      </c>
      <c r="J50" s="30" t="n">
        <v>119</v>
      </c>
      <c r="K50" s="30" t="n">
        <v>42</v>
      </c>
      <c r="L50" s="31">
        <f>G50*J50</f>
        <v/>
      </c>
      <c r="M50" s="31">
        <f>F50*K50</f>
        <v/>
      </c>
      <c r="N50" s="29">
        <f>H50+ROW()/1000000</f>
        <v/>
      </c>
    </row>
    <row r="51" ht="20" customHeight="1">
      <c r="A51" s="15" t="inlineStr">
        <is>
          <t>AC-6014</t>
        </is>
      </c>
      <c r="B51" s="14" t="inlineStr">
        <is>
          <t>צעיף צמר</t>
        </is>
      </c>
      <c r="C51" s="15" t="inlineStr">
        <is>
          <t>יחיד</t>
        </is>
      </c>
      <c r="D51" s="14" t="inlineStr">
        <is>
          <t>אביזרים</t>
        </is>
      </c>
      <c r="E51" s="14" t="inlineStr">
        <is>
          <t>עזריאלי תל אביב</t>
        </is>
      </c>
      <c r="F51" s="16" t="n">
        <v>142</v>
      </c>
      <c r="G51" s="16" t="n">
        <v>33</v>
      </c>
      <c r="H51" s="17">
        <f>ROUND(F51/(G51/4.33),1)</f>
        <v/>
      </c>
      <c r="I51" s="15">
        <f>IF(H51&lt;1,"אזל",IF(H51&lt;2,"קריטי",IF(H51&lt;'הנחות ופרמטרים'!$B$10,"נמוך",IF(H51&lt;=12,"תקין","עודף"))))</f>
        <v/>
      </c>
      <c r="J51" s="27" t="n">
        <v>99</v>
      </c>
      <c r="K51" s="27" t="n">
        <v>38.5</v>
      </c>
      <c r="L51" s="28">
        <f>G51*J51</f>
        <v/>
      </c>
      <c r="M51" s="28">
        <f>F51*K51</f>
        <v/>
      </c>
      <c r="N51" s="29">
        <f>H51+ROW()/1000000</f>
        <v/>
      </c>
    </row>
    <row r="52" ht="20" customHeight="1">
      <c r="A52" s="19" t="inlineStr">
        <is>
          <t>SK-7203</t>
        </is>
      </c>
      <c r="B52" s="18" t="inlineStr">
        <is>
          <t>חצאית מידי</t>
        </is>
      </c>
      <c r="C52" s="19" t="inlineStr">
        <is>
          <t>S</t>
        </is>
      </c>
      <c r="D52" s="18" t="inlineStr">
        <is>
          <t>חצאיות</t>
        </is>
      </c>
      <c r="E52" s="18" t="inlineStr">
        <is>
          <t>עזריאלי תל אביב</t>
        </is>
      </c>
      <c r="F52" s="20" t="n">
        <v>26</v>
      </c>
      <c r="G52" s="20" t="n">
        <v>45</v>
      </c>
      <c r="H52" s="21">
        <f>ROUND(F52/(G52/4.33),1)</f>
        <v/>
      </c>
      <c r="I52" s="19">
        <f>IF(H52&lt;1,"אזל",IF(H52&lt;2,"קריטי",IF(H52&lt;'הנחות ופרמטרים'!$B$10,"נמוך",IF(H52&lt;=12,"תקין","עודף"))))</f>
        <v/>
      </c>
      <c r="J52" s="30" t="n">
        <v>199</v>
      </c>
      <c r="K52" s="30" t="n">
        <v>78</v>
      </c>
      <c r="L52" s="31">
        <f>G52*J52</f>
        <v/>
      </c>
      <c r="M52" s="31">
        <f>F52*K52</f>
        <v/>
      </c>
      <c r="N52" s="29">
        <f>H52+ROW()/1000000</f>
        <v/>
      </c>
    </row>
    <row r="53" ht="20" customHeight="1">
      <c r="A53" s="15" t="inlineStr">
        <is>
          <t>TS-1041</t>
        </is>
      </c>
      <c r="B53" s="14" t="inlineStr">
        <is>
          <t>חולצת טי כותנה</t>
        </is>
      </c>
      <c r="C53" s="15" t="inlineStr">
        <is>
          <t>M</t>
        </is>
      </c>
      <c r="D53" s="14" t="inlineStr">
        <is>
          <t>חולצות</t>
        </is>
      </c>
      <c r="E53" s="14" t="inlineStr">
        <is>
          <t>קניון מלחה ירושלים</t>
        </is>
      </c>
      <c r="F53" s="16" t="n">
        <v>221</v>
      </c>
      <c r="G53" s="16" t="n">
        <v>154</v>
      </c>
      <c r="H53" s="17">
        <f>ROUND(F53/(G53/4.33),1)</f>
        <v/>
      </c>
      <c r="I53" s="15">
        <f>IF(H53&lt;1,"אזל",IF(H53&lt;2,"קריטי",IF(H53&lt;'הנחות ופרמטרים'!$B$10,"נמוך",IF(H53&lt;=12,"תקין","עודף"))))</f>
        <v/>
      </c>
      <c r="J53" s="27" t="n">
        <v>79.90000000000001</v>
      </c>
      <c r="K53" s="27" t="n">
        <v>24.9</v>
      </c>
      <c r="L53" s="28">
        <f>G53*J53</f>
        <v/>
      </c>
      <c r="M53" s="28">
        <f>F53*K53</f>
        <v/>
      </c>
      <c r="N53" s="29">
        <f>H53+ROW()/1000000</f>
        <v/>
      </c>
    </row>
    <row r="54" ht="20" customHeight="1">
      <c r="A54" s="19" t="inlineStr">
        <is>
          <t>TS-1042</t>
        </is>
      </c>
      <c r="B54" s="18" t="inlineStr">
        <is>
          <t>חולצת טי כותנה</t>
        </is>
      </c>
      <c r="C54" s="19" t="inlineStr">
        <is>
          <t>L</t>
        </is>
      </c>
      <c r="D54" s="18" t="inlineStr">
        <is>
          <t>חולצות</t>
        </is>
      </c>
      <c r="E54" s="18" t="inlineStr">
        <is>
          <t>קניון מלחה ירושלים</t>
        </is>
      </c>
      <c r="F54" s="20" t="n">
        <v>65</v>
      </c>
      <c r="G54" s="20" t="n">
        <v>147</v>
      </c>
      <c r="H54" s="21">
        <f>ROUND(F54/(G54/4.33),1)</f>
        <v/>
      </c>
      <c r="I54" s="19">
        <f>IF(H54&lt;1,"אזל",IF(H54&lt;2,"קריטי",IF(H54&lt;'הנחות ופרמטרים'!$B$10,"נמוך",IF(H54&lt;=12,"תקין","עודף"))))</f>
        <v/>
      </c>
      <c r="J54" s="30" t="n">
        <v>79.90000000000001</v>
      </c>
      <c r="K54" s="30" t="n">
        <v>24.9</v>
      </c>
      <c r="L54" s="31">
        <f>G54*J54</f>
        <v/>
      </c>
      <c r="M54" s="31">
        <f>F54*K54</f>
        <v/>
      </c>
      <c r="N54" s="29">
        <f>H54+ROW()/1000000</f>
        <v/>
      </c>
    </row>
    <row r="55" ht="20" customHeight="1">
      <c r="A55" s="15" t="inlineStr">
        <is>
          <t>SH-2210</t>
        </is>
      </c>
      <c r="B55" s="14" t="inlineStr">
        <is>
          <t>חולצה מכופתרת פשתן</t>
        </is>
      </c>
      <c r="C55" s="15" t="inlineStr">
        <is>
          <t>L</t>
        </is>
      </c>
      <c r="D55" s="14" t="inlineStr">
        <is>
          <t>חולצות</t>
        </is>
      </c>
      <c r="E55" s="14" t="inlineStr">
        <is>
          <t>קניון מלחה ירושלים</t>
        </is>
      </c>
      <c r="F55" s="16" t="n">
        <v>61</v>
      </c>
      <c r="G55" s="16" t="n">
        <v>35</v>
      </c>
      <c r="H55" s="17">
        <f>ROUND(F55/(G55/4.33),1)</f>
        <v/>
      </c>
      <c r="I55" s="15">
        <f>IF(H55&lt;1,"אזל",IF(H55&lt;2,"קריטי",IF(H55&lt;'הנחות ופרמטרים'!$B$10,"נמוך",IF(H55&lt;=12,"תקין","עודף"))))</f>
        <v/>
      </c>
      <c r="J55" s="27" t="n">
        <v>189</v>
      </c>
      <c r="K55" s="27" t="n">
        <v>68</v>
      </c>
      <c r="L55" s="28">
        <f>G55*J55</f>
        <v/>
      </c>
      <c r="M55" s="28">
        <f>F55*K55</f>
        <v/>
      </c>
      <c r="N55" s="29">
        <f>H55+ROW()/1000000</f>
        <v/>
      </c>
    </row>
    <row r="56" ht="20" customHeight="1">
      <c r="A56" s="19" t="inlineStr">
        <is>
          <t>JN-3305</t>
        </is>
      </c>
      <c r="B56" s="18" t="inlineStr">
        <is>
          <t>מכנסי ג׳ינס סלים</t>
        </is>
      </c>
      <c r="C56" s="19" t="inlineStr">
        <is>
          <t>32</t>
        </is>
      </c>
      <c r="D56" s="18" t="inlineStr">
        <is>
          <t>מכנסיים</t>
        </is>
      </c>
      <c r="E56" s="18" t="inlineStr">
        <is>
          <t>קניון מלחה ירושלים</t>
        </is>
      </c>
      <c r="F56" s="20" t="n">
        <v>14</v>
      </c>
      <c r="G56" s="20" t="n">
        <v>72</v>
      </c>
      <c r="H56" s="21">
        <f>ROUND(F56/(G56/4.33),1)</f>
        <v/>
      </c>
      <c r="I56" s="19">
        <f>IF(H56&lt;1,"אזל",IF(H56&lt;2,"קריטי",IF(H56&lt;'הנחות ופרמטרים'!$B$10,"נמוך",IF(H56&lt;=12,"תקין","עודף"))))</f>
        <v/>
      </c>
      <c r="J56" s="30" t="n">
        <v>249</v>
      </c>
      <c r="K56" s="30" t="n">
        <v>96.5</v>
      </c>
      <c r="L56" s="31">
        <f>G56*J56</f>
        <v/>
      </c>
      <c r="M56" s="31">
        <f>F56*K56</f>
        <v/>
      </c>
      <c r="N56" s="29">
        <f>H56+ROW()/1000000</f>
        <v/>
      </c>
    </row>
    <row r="57" ht="20" customHeight="1">
      <c r="A57" s="15" t="inlineStr">
        <is>
          <t>JN-3307</t>
        </is>
      </c>
      <c r="B57" s="14" t="inlineStr">
        <is>
          <t>מכנסי ג׳ינס ישר</t>
        </is>
      </c>
      <c r="C57" s="15" t="inlineStr">
        <is>
          <t>34</t>
        </is>
      </c>
      <c r="D57" s="14" t="inlineStr">
        <is>
          <t>מכנסיים</t>
        </is>
      </c>
      <c r="E57" s="14" t="inlineStr">
        <is>
          <t>קניון מלחה ירושלים</t>
        </is>
      </c>
      <c r="F57" s="16" t="n">
        <v>242</v>
      </c>
      <c r="G57" s="16" t="n">
        <v>50</v>
      </c>
      <c r="H57" s="17">
        <f>ROUND(F57/(G57/4.33),1)</f>
        <v/>
      </c>
      <c r="I57" s="15">
        <f>IF(H57&lt;1,"אזל",IF(H57&lt;2,"קריטי",IF(H57&lt;'הנחות ופרמטרים'!$B$10,"נמוך",IF(H57&lt;=12,"תקין","עודף"))))</f>
        <v/>
      </c>
      <c r="J57" s="27" t="n">
        <v>249</v>
      </c>
      <c r="K57" s="27" t="n">
        <v>96.5</v>
      </c>
      <c r="L57" s="28">
        <f>G57*J57</f>
        <v/>
      </c>
      <c r="M57" s="28">
        <f>F57*K57</f>
        <v/>
      </c>
      <c r="N57" s="29">
        <f>H57+ROW()/1000000</f>
        <v/>
      </c>
    </row>
    <row r="58" ht="20" customHeight="1">
      <c r="A58" s="19" t="inlineStr">
        <is>
          <t>DR-4102</t>
        </is>
      </c>
      <c r="B58" s="18" t="inlineStr">
        <is>
          <t>שמלת קיץ פרחונית</t>
        </is>
      </c>
      <c r="C58" s="19" t="inlineStr">
        <is>
          <t>S</t>
        </is>
      </c>
      <c r="D58" s="18" t="inlineStr">
        <is>
          <t>שמלות</t>
        </is>
      </c>
      <c r="E58" s="18" t="inlineStr">
        <is>
          <t>קניון מלחה ירושלים</t>
        </is>
      </c>
      <c r="F58" s="20" t="n">
        <v>37</v>
      </c>
      <c r="G58" s="20" t="n">
        <v>55</v>
      </c>
      <c r="H58" s="21">
        <f>ROUND(F58/(G58/4.33),1)</f>
        <v/>
      </c>
      <c r="I58" s="19">
        <f>IF(H58&lt;1,"אזל",IF(H58&lt;2,"קריטי",IF(H58&lt;'הנחות ופרמטרים'!$B$10,"נמוך",IF(H58&lt;=12,"תקין","עודף"))))</f>
        <v/>
      </c>
      <c r="J58" s="30" t="n">
        <v>279</v>
      </c>
      <c r="K58" s="30" t="n">
        <v>112</v>
      </c>
      <c r="L58" s="31">
        <f>G58*J58</f>
        <v/>
      </c>
      <c r="M58" s="31">
        <f>F58*K58</f>
        <v/>
      </c>
      <c r="N58" s="29">
        <f>H58+ROW()/1000000</f>
        <v/>
      </c>
    </row>
    <row r="59" ht="20" customHeight="1">
      <c r="A59" s="15" t="inlineStr">
        <is>
          <t>DR-4108</t>
        </is>
      </c>
      <c r="B59" s="14" t="inlineStr">
        <is>
          <t>שמלת ערב</t>
        </is>
      </c>
      <c r="C59" s="15" t="inlineStr">
        <is>
          <t>M</t>
        </is>
      </c>
      <c r="D59" s="14" t="inlineStr">
        <is>
          <t>שמלות</t>
        </is>
      </c>
      <c r="E59" s="14" t="inlineStr">
        <is>
          <t>קניון מלחה ירושלים</t>
        </is>
      </c>
      <c r="F59" s="16" t="n">
        <v>86</v>
      </c>
      <c r="G59" s="16" t="n">
        <v>18</v>
      </c>
      <c r="H59" s="17">
        <f>ROUND(F59/(G59/4.33),1)</f>
        <v/>
      </c>
      <c r="I59" s="15">
        <f>IF(H59&lt;1,"אזל",IF(H59&lt;2,"קריטי",IF(H59&lt;'הנחות ופרמטרים'!$B$10,"נמוך",IF(H59&lt;=12,"תקין","עודף"))))</f>
        <v/>
      </c>
      <c r="J59" s="27" t="n">
        <v>590</v>
      </c>
      <c r="K59" s="27" t="n">
        <v>245</v>
      </c>
      <c r="L59" s="28">
        <f>G59*J59</f>
        <v/>
      </c>
      <c r="M59" s="28">
        <f>F59*K59</f>
        <v/>
      </c>
      <c r="N59" s="29">
        <f>H59+ROW()/1000000</f>
        <v/>
      </c>
    </row>
    <row r="60" ht="20" customHeight="1">
      <c r="A60" s="19" t="inlineStr">
        <is>
          <t>JK-5501</t>
        </is>
      </c>
      <c r="B60" s="18" t="inlineStr">
        <is>
          <t>מעיל חורף מרופד</t>
        </is>
      </c>
      <c r="C60" s="19" t="inlineStr">
        <is>
          <t>XL</t>
        </is>
      </c>
      <c r="D60" s="18" t="inlineStr">
        <is>
          <t>מעילים</t>
        </is>
      </c>
      <c r="E60" s="18" t="inlineStr">
        <is>
          <t>קניון מלחה ירושלים</t>
        </is>
      </c>
      <c r="F60" s="20" t="n">
        <v>17</v>
      </c>
      <c r="G60" s="20" t="n">
        <v>19</v>
      </c>
      <c r="H60" s="21">
        <f>ROUND(F60/(G60/4.33),1)</f>
        <v/>
      </c>
      <c r="I60" s="19">
        <f>IF(H60&lt;1,"אזל",IF(H60&lt;2,"קריטי",IF(H60&lt;'הנחות ופרמטרים'!$B$10,"נמוך",IF(H60&lt;=12,"תקין","עודף"))))</f>
        <v/>
      </c>
      <c r="J60" s="30" t="n">
        <v>449</v>
      </c>
      <c r="K60" s="30" t="n">
        <v>189</v>
      </c>
      <c r="L60" s="31">
        <f>G60*J60</f>
        <v/>
      </c>
      <c r="M60" s="31">
        <f>F60*K60</f>
        <v/>
      </c>
      <c r="N60" s="29">
        <f>H60+ROW()/1000000</f>
        <v/>
      </c>
    </row>
    <row r="61" ht="20" customHeight="1">
      <c r="A61" s="15" t="inlineStr">
        <is>
          <t>JK-5504</t>
        </is>
      </c>
      <c r="B61" s="14" t="inlineStr">
        <is>
          <t>ג׳קט ג׳ינס</t>
        </is>
      </c>
      <c r="C61" s="15" t="inlineStr">
        <is>
          <t>M</t>
        </is>
      </c>
      <c r="D61" s="14" t="inlineStr">
        <is>
          <t>מעילים</t>
        </is>
      </c>
      <c r="E61" s="14" t="inlineStr">
        <is>
          <t>קניון מלחה ירושלים</t>
        </is>
      </c>
      <c r="F61" s="16" t="n">
        <v>28</v>
      </c>
      <c r="G61" s="16" t="n">
        <v>44</v>
      </c>
      <c r="H61" s="17">
        <f>ROUND(F61/(G61/4.33),1)</f>
        <v/>
      </c>
      <c r="I61" s="15">
        <f>IF(H61&lt;1,"אזל",IF(H61&lt;2,"קריטי",IF(H61&lt;'הנחות ופרמטרים'!$B$10,"נמוך",IF(H61&lt;=12,"תקין","עודף"))))</f>
        <v/>
      </c>
      <c r="J61" s="27" t="n">
        <v>379</v>
      </c>
      <c r="K61" s="27" t="n">
        <v>154</v>
      </c>
      <c r="L61" s="28">
        <f>G61*J61</f>
        <v/>
      </c>
      <c r="M61" s="28">
        <f>F61*K61</f>
        <v/>
      </c>
      <c r="N61" s="29">
        <f>H61+ROW()/1000000</f>
        <v/>
      </c>
    </row>
    <row r="62" ht="20" customHeight="1">
      <c r="A62" s="19" t="inlineStr">
        <is>
          <t>AC-6001</t>
        </is>
      </c>
      <c r="B62" s="18" t="inlineStr">
        <is>
          <t>חגורת עור</t>
        </is>
      </c>
      <c r="C62" s="19" t="inlineStr">
        <is>
          <t>יחיד</t>
        </is>
      </c>
      <c r="D62" s="18" t="inlineStr">
        <is>
          <t>אביזרים</t>
        </is>
      </c>
      <c r="E62" s="18" t="inlineStr">
        <is>
          <t>קניון מלחה ירושלים</t>
        </is>
      </c>
      <c r="F62" s="20" t="n">
        <v>109</v>
      </c>
      <c r="G62" s="20" t="n">
        <v>41</v>
      </c>
      <c r="H62" s="21">
        <f>ROUND(F62/(G62/4.33),1)</f>
        <v/>
      </c>
      <c r="I62" s="19">
        <f>IF(H62&lt;1,"אזל",IF(H62&lt;2,"קריטי",IF(H62&lt;'הנחות ופרמטרים'!$B$10,"נמוך",IF(H62&lt;=12,"תקין","עודף"))))</f>
        <v/>
      </c>
      <c r="J62" s="30" t="n">
        <v>119</v>
      </c>
      <c r="K62" s="30" t="n">
        <v>42</v>
      </c>
      <c r="L62" s="31">
        <f>G62*J62</f>
        <v/>
      </c>
      <c r="M62" s="31">
        <f>F62*K62</f>
        <v/>
      </c>
      <c r="N62" s="29">
        <f>H62+ROW()/1000000</f>
        <v/>
      </c>
    </row>
    <row r="63" ht="20" customHeight="1">
      <c r="A63" s="15" t="inlineStr">
        <is>
          <t>AC-6014</t>
        </is>
      </c>
      <c r="B63" s="14" t="inlineStr">
        <is>
          <t>צעיף צמר</t>
        </is>
      </c>
      <c r="C63" s="15" t="inlineStr">
        <is>
          <t>יחיד</t>
        </is>
      </c>
      <c r="D63" s="14" t="inlineStr">
        <is>
          <t>אביזרים</t>
        </is>
      </c>
      <c r="E63" s="14" t="inlineStr">
        <is>
          <t>קניון מלחה ירושלים</t>
        </is>
      </c>
      <c r="F63" s="16" t="n">
        <v>49</v>
      </c>
      <c r="G63" s="16" t="n">
        <v>13</v>
      </c>
      <c r="H63" s="17">
        <f>ROUND(F63/(G63/4.33),1)</f>
        <v/>
      </c>
      <c r="I63" s="15">
        <f>IF(H63&lt;1,"אזל",IF(H63&lt;2,"קריטי",IF(H63&lt;'הנחות ופרמטרים'!$B$10,"נמוך",IF(H63&lt;=12,"תקין","עודף"))))</f>
        <v/>
      </c>
      <c r="J63" s="27" t="n">
        <v>99</v>
      </c>
      <c r="K63" s="27" t="n">
        <v>38.5</v>
      </c>
      <c r="L63" s="28">
        <f>G63*J63</f>
        <v/>
      </c>
      <c r="M63" s="28">
        <f>F63*K63</f>
        <v/>
      </c>
      <c r="N63" s="29">
        <f>H63+ROW()/1000000</f>
        <v/>
      </c>
    </row>
    <row r="64" ht="20" customHeight="1">
      <c r="A64" s="19" t="inlineStr">
        <is>
          <t>SK-7203</t>
        </is>
      </c>
      <c r="B64" s="18" t="inlineStr">
        <is>
          <t>חצאית מידי</t>
        </is>
      </c>
      <c r="C64" s="19" t="inlineStr">
        <is>
          <t>S</t>
        </is>
      </c>
      <c r="D64" s="18" t="inlineStr">
        <is>
          <t>חצאיות</t>
        </is>
      </c>
      <c r="E64" s="18" t="inlineStr">
        <is>
          <t>קניון מלחה ירושלים</t>
        </is>
      </c>
      <c r="F64" s="20" t="n">
        <v>18</v>
      </c>
      <c r="G64" s="20" t="n">
        <v>35</v>
      </c>
      <c r="H64" s="21">
        <f>ROUND(F64/(G64/4.33),1)</f>
        <v/>
      </c>
      <c r="I64" s="19">
        <f>IF(H64&lt;1,"אזל",IF(H64&lt;2,"קריטי",IF(H64&lt;'הנחות ופרמטרים'!$B$10,"נמוך",IF(H64&lt;=12,"תקין","עודף"))))</f>
        <v/>
      </c>
      <c r="J64" s="30" t="n">
        <v>199</v>
      </c>
      <c r="K64" s="30" t="n">
        <v>78</v>
      </c>
      <c r="L64" s="31">
        <f>G64*J64</f>
        <v/>
      </c>
      <c r="M64" s="31">
        <f>F64*K64</f>
        <v/>
      </c>
      <c r="N64" s="29">
        <f>H64+ROW()/1000000</f>
        <v/>
      </c>
    </row>
    <row r="65" ht="20" customHeight="1">
      <c r="A65" s="15" t="inlineStr">
        <is>
          <t>TS-1041</t>
        </is>
      </c>
      <c r="B65" s="14" t="inlineStr">
        <is>
          <t>חולצת טי כותנה</t>
        </is>
      </c>
      <c r="C65" s="15" t="inlineStr">
        <is>
          <t>M</t>
        </is>
      </c>
      <c r="D65" s="14" t="inlineStr">
        <is>
          <t>חולצות</t>
        </is>
      </c>
      <c r="E65" s="14" t="inlineStr">
        <is>
          <t>מחסן אונליין</t>
        </is>
      </c>
      <c r="F65" s="16" t="n">
        <v>181</v>
      </c>
      <c r="G65" s="16" t="n">
        <v>145</v>
      </c>
      <c r="H65" s="17">
        <f>ROUND(F65/(G65/4.33),1)</f>
        <v/>
      </c>
      <c r="I65" s="15">
        <f>IF(H65&lt;1,"אזל",IF(H65&lt;2,"קריטי",IF(H65&lt;'הנחות ופרמטרים'!$B$10,"נמוך",IF(H65&lt;=12,"תקין","עודף"))))</f>
        <v/>
      </c>
      <c r="J65" s="27" t="n">
        <v>79.90000000000001</v>
      </c>
      <c r="K65" s="27" t="n">
        <v>24.9</v>
      </c>
      <c r="L65" s="28">
        <f>G65*J65</f>
        <v/>
      </c>
      <c r="M65" s="28">
        <f>F65*K65</f>
        <v/>
      </c>
      <c r="N65" s="29">
        <f>H65+ROW()/1000000</f>
        <v/>
      </c>
    </row>
    <row r="66" ht="20" customHeight="1">
      <c r="A66" s="19" t="inlineStr">
        <is>
          <t>TS-1042</t>
        </is>
      </c>
      <c r="B66" s="18" t="inlineStr">
        <is>
          <t>חולצת טי כותנה</t>
        </is>
      </c>
      <c r="C66" s="19" t="inlineStr">
        <is>
          <t>L</t>
        </is>
      </c>
      <c r="D66" s="18" t="inlineStr">
        <is>
          <t>חולצות</t>
        </is>
      </c>
      <c r="E66" s="18" t="inlineStr">
        <is>
          <t>מחסן אונליין</t>
        </is>
      </c>
      <c r="F66" s="20" t="n">
        <v>57</v>
      </c>
      <c r="G66" s="20" t="n">
        <v>143</v>
      </c>
      <c r="H66" s="21">
        <f>ROUND(F66/(G66/4.33),1)</f>
        <v/>
      </c>
      <c r="I66" s="19">
        <f>IF(H66&lt;1,"אזל",IF(H66&lt;2,"קריטי",IF(H66&lt;'הנחות ופרמטרים'!$B$10,"נמוך",IF(H66&lt;=12,"תקין","עודף"))))</f>
        <v/>
      </c>
      <c r="J66" s="30" t="n">
        <v>79.90000000000001</v>
      </c>
      <c r="K66" s="30" t="n">
        <v>24.9</v>
      </c>
      <c r="L66" s="31">
        <f>G66*J66</f>
        <v/>
      </c>
      <c r="M66" s="31">
        <f>F66*K66</f>
        <v/>
      </c>
      <c r="N66" s="29">
        <f>H66+ROW()/1000000</f>
        <v/>
      </c>
    </row>
    <row r="67" ht="20" customHeight="1">
      <c r="A67" s="15" t="inlineStr">
        <is>
          <t>SH-2210</t>
        </is>
      </c>
      <c r="B67" s="14" t="inlineStr">
        <is>
          <t>חולצה מכופתרת פשתן</t>
        </is>
      </c>
      <c r="C67" s="15" t="inlineStr">
        <is>
          <t>L</t>
        </is>
      </c>
      <c r="D67" s="14" t="inlineStr">
        <is>
          <t>חולצות</t>
        </is>
      </c>
      <c r="E67" s="14" t="inlineStr">
        <is>
          <t>מחסן אונליין</t>
        </is>
      </c>
      <c r="F67" s="16" t="n">
        <v>52</v>
      </c>
      <c r="G67" s="16" t="n">
        <v>36</v>
      </c>
      <c r="H67" s="17">
        <f>ROUND(F67/(G67/4.33),1)</f>
        <v/>
      </c>
      <c r="I67" s="15">
        <f>IF(H67&lt;1,"אזל",IF(H67&lt;2,"קריטי",IF(H67&lt;'הנחות ופרמטרים'!$B$10,"נמוך",IF(H67&lt;=12,"תקין","עודף"))))</f>
        <v/>
      </c>
      <c r="J67" s="27" t="n">
        <v>189</v>
      </c>
      <c r="K67" s="27" t="n">
        <v>68</v>
      </c>
      <c r="L67" s="28">
        <f>G67*J67</f>
        <v/>
      </c>
      <c r="M67" s="28">
        <f>F67*K67</f>
        <v/>
      </c>
      <c r="N67" s="29">
        <f>H67+ROW()/1000000</f>
        <v/>
      </c>
    </row>
    <row r="68" ht="20" customHeight="1">
      <c r="A68" s="19" t="inlineStr">
        <is>
          <t>JN-3305</t>
        </is>
      </c>
      <c r="B68" s="18" t="inlineStr">
        <is>
          <t>מכנסי ג׳ינס סלים</t>
        </is>
      </c>
      <c r="C68" s="19" t="inlineStr">
        <is>
          <t>32</t>
        </is>
      </c>
      <c r="D68" s="18" t="inlineStr">
        <is>
          <t>מכנסיים</t>
        </is>
      </c>
      <c r="E68" s="18" t="inlineStr">
        <is>
          <t>מחסן אונליין</t>
        </is>
      </c>
      <c r="F68" s="20" t="n">
        <v>11</v>
      </c>
      <c r="G68" s="20" t="n">
        <v>68</v>
      </c>
      <c r="H68" s="21">
        <f>ROUND(F68/(G68/4.33),1)</f>
        <v/>
      </c>
      <c r="I68" s="19">
        <f>IF(H68&lt;1,"אזל",IF(H68&lt;2,"קריטי",IF(H68&lt;'הנחות ופרמטרים'!$B$10,"נמוך",IF(H68&lt;=12,"תקין","עודף"))))</f>
        <v/>
      </c>
      <c r="J68" s="30" t="n">
        <v>249</v>
      </c>
      <c r="K68" s="30" t="n">
        <v>96.5</v>
      </c>
      <c r="L68" s="31">
        <f>G68*J68</f>
        <v/>
      </c>
      <c r="M68" s="31">
        <f>F68*K68</f>
        <v/>
      </c>
      <c r="N68" s="29">
        <f>H68+ROW()/1000000</f>
        <v/>
      </c>
    </row>
    <row r="69" ht="20" customHeight="1">
      <c r="A69" s="15" t="inlineStr">
        <is>
          <t>JN-3307</t>
        </is>
      </c>
      <c r="B69" s="14" t="inlineStr">
        <is>
          <t>מכנסי ג׳ינס ישר</t>
        </is>
      </c>
      <c r="C69" s="15" t="inlineStr">
        <is>
          <t>34</t>
        </is>
      </c>
      <c r="D69" s="14" t="inlineStr">
        <is>
          <t>מכנסיים</t>
        </is>
      </c>
      <c r="E69" s="14" t="inlineStr">
        <is>
          <t>מחסן אונליין</t>
        </is>
      </c>
      <c r="F69" s="16" t="n">
        <v>217</v>
      </c>
      <c r="G69" s="16" t="n">
        <v>49</v>
      </c>
      <c r="H69" s="17">
        <f>ROUND(F69/(G69/4.33),1)</f>
        <v/>
      </c>
      <c r="I69" s="15">
        <f>IF(H69&lt;1,"אזל",IF(H69&lt;2,"קריטי",IF(H69&lt;'הנחות ופרמטרים'!$B$10,"נמוך",IF(H69&lt;=12,"תקין","עודף"))))</f>
        <v/>
      </c>
      <c r="J69" s="27" t="n">
        <v>249</v>
      </c>
      <c r="K69" s="27" t="n">
        <v>96.5</v>
      </c>
      <c r="L69" s="28">
        <f>G69*J69</f>
        <v/>
      </c>
      <c r="M69" s="28">
        <f>F69*K69</f>
        <v/>
      </c>
      <c r="N69" s="29">
        <f>H69+ROW()/1000000</f>
        <v/>
      </c>
    </row>
    <row r="70" ht="20" customHeight="1">
      <c r="A70" s="19" t="inlineStr">
        <is>
          <t>DR-4102</t>
        </is>
      </c>
      <c r="B70" s="18" t="inlineStr">
        <is>
          <t>שמלת קיץ פרחונית</t>
        </is>
      </c>
      <c r="C70" s="19" t="inlineStr">
        <is>
          <t>S</t>
        </is>
      </c>
      <c r="D70" s="18" t="inlineStr">
        <is>
          <t>שמלות</t>
        </is>
      </c>
      <c r="E70" s="18" t="inlineStr">
        <is>
          <t>מחסן אונליין</t>
        </is>
      </c>
      <c r="F70" s="20" t="n">
        <v>15</v>
      </c>
      <c r="G70" s="20" t="n">
        <v>26</v>
      </c>
      <c r="H70" s="21">
        <f>ROUND(F70/(G70/4.33),1)</f>
        <v/>
      </c>
      <c r="I70" s="19">
        <f>IF(H70&lt;1,"אזל",IF(H70&lt;2,"קריטי",IF(H70&lt;'הנחות ופרמטרים'!$B$10,"נמוך",IF(H70&lt;=12,"תקין","עודף"))))</f>
        <v/>
      </c>
      <c r="J70" s="30" t="n">
        <v>279</v>
      </c>
      <c r="K70" s="30" t="n">
        <v>112</v>
      </c>
      <c r="L70" s="31">
        <f>G70*J70</f>
        <v/>
      </c>
      <c r="M70" s="31">
        <f>F70*K70</f>
        <v/>
      </c>
      <c r="N70" s="29">
        <f>H70+ROW()/1000000</f>
        <v/>
      </c>
    </row>
    <row r="71" ht="20" customHeight="1">
      <c r="A71" s="15" t="inlineStr">
        <is>
          <t>DR-4108</t>
        </is>
      </c>
      <c r="B71" s="14" t="inlineStr">
        <is>
          <t>שמלת ערב</t>
        </is>
      </c>
      <c r="C71" s="15" t="inlineStr">
        <is>
          <t>M</t>
        </is>
      </c>
      <c r="D71" s="14" t="inlineStr">
        <is>
          <t>שמלות</t>
        </is>
      </c>
      <c r="E71" s="14" t="inlineStr">
        <is>
          <t>מחסן אונליין</t>
        </is>
      </c>
      <c r="F71" s="16" t="n">
        <v>78</v>
      </c>
      <c r="G71" s="16" t="n">
        <v>18</v>
      </c>
      <c r="H71" s="17">
        <f>ROUND(F71/(G71/4.33),1)</f>
        <v/>
      </c>
      <c r="I71" s="15">
        <f>IF(H71&lt;1,"אזל",IF(H71&lt;2,"קריטי",IF(H71&lt;'הנחות ופרמטרים'!$B$10,"נמוך",IF(H71&lt;=12,"תקין","עודף"))))</f>
        <v/>
      </c>
      <c r="J71" s="27" t="n">
        <v>590</v>
      </c>
      <c r="K71" s="27" t="n">
        <v>245</v>
      </c>
      <c r="L71" s="28">
        <f>G71*J71</f>
        <v/>
      </c>
      <c r="M71" s="28">
        <f>F71*K71</f>
        <v/>
      </c>
      <c r="N71" s="29">
        <f>H71+ROW()/1000000</f>
        <v/>
      </c>
    </row>
    <row r="72" ht="20" customHeight="1">
      <c r="A72" s="19" t="inlineStr">
        <is>
          <t>JK-5501</t>
        </is>
      </c>
      <c r="B72" s="18" t="inlineStr">
        <is>
          <t>מעיל חורף מרופד</t>
        </is>
      </c>
      <c r="C72" s="19" t="inlineStr">
        <is>
          <t>XL</t>
        </is>
      </c>
      <c r="D72" s="18" t="inlineStr">
        <is>
          <t>מעילים</t>
        </is>
      </c>
      <c r="E72" s="18" t="inlineStr">
        <is>
          <t>מחסן אונליין</t>
        </is>
      </c>
      <c r="F72" s="20" t="n">
        <v>33</v>
      </c>
      <c r="G72" s="20" t="n">
        <v>19</v>
      </c>
      <c r="H72" s="21">
        <f>ROUND(F72/(G72/4.33),1)</f>
        <v/>
      </c>
      <c r="I72" s="19">
        <f>IF(H72&lt;1,"אזל",IF(H72&lt;2,"קריטי",IF(H72&lt;'הנחות ופרמטרים'!$B$10,"נמוך",IF(H72&lt;=12,"תקין","עודף"))))</f>
        <v/>
      </c>
      <c r="J72" s="30" t="n">
        <v>449</v>
      </c>
      <c r="K72" s="30" t="n">
        <v>189</v>
      </c>
      <c r="L72" s="31">
        <f>G72*J72</f>
        <v/>
      </c>
      <c r="M72" s="31">
        <f>F72*K72</f>
        <v/>
      </c>
      <c r="N72" s="29">
        <f>H72+ROW()/1000000</f>
        <v/>
      </c>
    </row>
    <row r="73" ht="20" customHeight="1">
      <c r="A73" s="15" t="inlineStr">
        <is>
          <t>JK-5504</t>
        </is>
      </c>
      <c r="B73" s="14" t="inlineStr">
        <is>
          <t>ג׳קט ג׳ינס</t>
        </is>
      </c>
      <c r="C73" s="15" t="inlineStr">
        <is>
          <t>M</t>
        </is>
      </c>
      <c r="D73" s="14" t="inlineStr">
        <is>
          <t>מעילים</t>
        </is>
      </c>
      <c r="E73" s="14" t="inlineStr">
        <is>
          <t>מחסן אונליין</t>
        </is>
      </c>
      <c r="F73" s="16" t="n">
        <v>11</v>
      </c>
      <c r="G73" s="16" t="n">
        <v>20</v>
      </c>
      <c r="H73" s="17">
        <f>ROUND(F73/(G73/4.33),1)</f>
        <v/>
      </c>
      <c r="I73" s="15">
        <f>IF(H73&lt;1,"אזל",IF(H73&lt;2,"קריטי",IF(H73&lt;'הנחות ופרמטרים'!$B$10,"נמוך",IF(H73&lt;=12,"תקין","עודף"))))</f>
        <v/>
      </c>
      <c r="J73" s="27" t="n">
        <v>379</v>
      </c>
      <c r="K73" s="27" t="n">
        <v>154</v>
      </c>
      <c r="L73" s="28">
        <f>G73*J73</f>
        <v/>
      </c>
      <c r="M73" s="28">
        <f>F73*K73</f>
        <v/>
      </c>
      <c r="N73" s="29">
        <f>H73+ROW()/1000000</f>
        <v/>
      </c>
    </row>
    <row r="74" ht="20" customHeight="1">
      <c r="A74" s="19" t="inlineStr">
        <is>
          <t>AC-6001</t>
        </is>
      </c>
      <c r="B74" s="18" t="inlineStr">
        <is>
          <t>חגורת עור</t>
        </is>
      </c>
      <c r="C74" s="19" t="inlineStr">
        <is>
          <t>יחיד</t>
        </is>
      </c>
      <c r="D74" s="18" t="inlineStr">
        <is>
          <t>אביזרים</t>
        </is>
      </c>
      <c r="E74" s="18" t="inlineStr">
        <is>
          <t>מחסן אונליין</t>
        </is>
      </c>
      <c r="F74" s="20" t="n">
        <v>94</v>
      </c>
      <c r="G74" s="20" t="n">
        <v>39</v>
      </c>
      <c r="H74" s="21">
        <f>ROUND(F74/(G74/4.33),1)</f>
        <v/>
      </c>
      <c r="I74" s="19">
        <f>IF(H74&lt;1,"אזל",IF(H74&lt;2,"קריטי",IF(H74&lt;'הנחות ופרמטרים'!$B$10,"נמוך",IF(H74&lt;=12,"תקין","עודף"))))</f>
        <v/>
      </c>
      <c r="J74" s="30" t="n">
        <v>119</v>
      </c>
      <c r="K74" s="30" t="n">
        <v>42</v>
      </c>
      <c r="L74" s="31">
        <f>G74*J74</f>
        <v/>
      </c>
      <c r="M74" s="31">
        <f>F74*K74</f>
        <v/>
      </c>
      <c r="N74" s="29">
        <f>H74+ROW()/1000000</f>
        <v/>
      </c>
    </row>
    <row r="75" ht="20" customHeight="1">
      <c r="A75" s="15" t="inlineStr">
        <is>
          <t>AC-6014</t>
        </is>
      </c>
      <c r="B75" s="14" t="inlineStr">
        <is>
          <t>צעיף צמר</t>
        </is>
      </c>
      <c r="C75" s="15" t="inlineStr">
        <is>
          <t>יחיד</t>
        </is>
      </c>
      <c r="D75" s="14" t="inlineStr">
        <is>
          <t>אביזרים</t>
        </is>
      </c>
      <c r="E75" s="14" t="inlineStr">
        <is>
          <t>מחסן אונליין</t>
        </is>
      </c>
      <c r="F75" s="16" t="n">
        <v>41</v>
      </c>
      <c r="G75" s="16" t="n">
        <v>13</v>
      </c>
      <c r="H75" s="17">
        <f>ROUND(F75/(G75/4.33),1)</f>
        <v/>
      </c>
      <c r="I75" s="15">
        <f>IF(H75&lt;1,"אזל",IF(H75&lt;2,"קריטי",IF(H75&lt;'הנחות ופרמטרים'!$B$10,"נמוך",IF(H75&lt;=12,"תקין","עודף"))))</f>
        <v/>
      </c>
      <c r="J75" s="27" t="n">
        <v>99</v>
      </c>
      <c r="K75" s="27" t="n">
        <v>38.5</v>
      </c>
      <c r="L75" s="28">
        <f>G75*J75</f>
        <v/>
      </c>
      <c r="M75" s="28">
        <f>F75*K75</f>
        <v/>
      </c>
      <c r="N75" s="29">
        <f>H75+ROW()/1000000</f>
        <v/>
      </c>
    </row>
    <row r="76" ht="20" customHeight="1">
      <c r="A76" s="19" t="inlineStr">
        <is>
          <t>SK-7203</t>
        </is>
      </c>
      <c r="B76" s="18" t="inlineStr">
        <is>
          <t>חצאית מידי</t>
        </is>
      </c>
      <c r="C76" s="19" t="inlineStr">
        <is>
          <t>S</t>
        </is>
      </c>
      <c r="D76" s="18" t="inlineStr">
        <is>
          <t>חצאיות</t>
        </is>
      </c>
      <c r="E76" s="18" t="inlineStr">
        <is>
          <t>מחסן אונליין</t>
        </is>
      </c>
      <c r="F76" s="20" t="n">
        <v>15</v>
      </c>
      <c r="G76" s="20" t="n">
        <v>33</v>
      </c>
      <c r="H76" s="21">
        <f>ROUND(F76/(G76/4.33),1)</f>
        <v/>
      </c>
      <c r="I76" s="19">
        <f>IF(H76&lt;1,"אזל",IF(H76&lt;2,"קריטי",IF(H76&lt;'הנחות ופרמטרים'!$B$10,"נמוך",IF(H76&lt;=12,"תקין","עודף"))))</f>
        <v/>
      </c>
      <c r="J76" s="30" t="n">
        <v>199</v>
      </c>
      <c r="K76" s="30" t="n">
        <v>78</v>
      </c>
      <c r="L76" s="31">
        <f>G76*J76</f>
        <v/>
      </c>
      <c r="M76" s="31">
        <f>F76*K76</f>
        <v/>
      </c>
      <c r="N76" s="29">
        <f>H76+ROW()/1000000</f>
        <v/>
      </c>
    </row>
  </sheetData>
  <conditionalFormatting sqref="I5:I76">
    <cfRule type="cellIs" priority="1" operator="equal" dxfId="0">
      <formula>"אזל"</formula>
    </cfRule>
    <cfRule type="cellIs" priority="2" operator="equal" dxfId="0">
      <formula>"קריטי"</formula>
    </cfRule>
    <cfRule type="cellIs" priority="3" operator="equal" dxfId="1">
      <formula>"נמוך"</formula>
    </cfRule>
    <cfRule type="cellIs" priority="4" operator="equal" dxfId="2">
      <formula>"תקין"</formula>
    </cfRule>
    <cfRule type="cellIs" priority="5" operator="equal" dxfId="3">
      <formula>"עודף"</formula>
    </cfRule>
  </conditionalFormatting>
  <pageMargins left="0.75" right="0.75" top="1" bottom="1" header="0.5" footer="0.5"/>
  <ignoredErrors>
    <ignoredError sqref="C5:C76" numberStoredAsText="1"/>
  </ignoredErrors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3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  <col width="16" customWidth="1" min="3" max="3"/>
    <col width="13" customWidth="1" min="4" max="4"/>
    <col width="14" customWidth="1" min="5" max="5"/>
    <col width="17" customWidth="1" min="6" max="6"/>
    <col width="15" customWidth="1" min="7" max="7"/>
    <col width="13" customWidth="1" min="8" max="8"/>
  </cols>
  <sheetData>
    <row r="1" ht="30" customHeight="1">
      <c r="A1" s="1" t="inlineStr">
        <is>
          <t>סיכום חנויות</t>
        </is>
      </c>
    </row>
    <row r="2" ht="16" customHeight="1">
      <c r="A2" s="2" t="inlineStr">
        <is>
          <t>השוואה בין הסניפים. ככל שהדירוג נמוך יותר, החנות מוכרת יותר.</t>
        </is>
      </c>
    </row>
    <row r="4" ht="32" customHeight="1">
      <c r="A4" s="13" t="inlineStr">
        <is>
          <t>חנות</t>
        </is>
      </c>
      <c r="B4" s="13" t="inlineStr">
        <is>
          <t>מכירות בחודש (₪)</t>
        </is>
      </c>
      <c r="C4" s="13" t="inlineStr">
        <is>
          <t>שווי מלאי (₪)</t>
        </is>
      </c>
      <c r="D4" s="13" t="inlineStr">
        <is>
          <t>פריטים שאזלו</t>
        </is>
      </c>
      <c r="E4" s="13" t="inlineStr">
        <is>
          <t>פריטים קריטיים</t>
        </is>
      </c>
      <c r="F4" s="13" t="inlineStr">
        <is>
          <t>שבועות כיסוי ממוצע</t>
        </is>
      </c>
      <c r="G4" s="13" t="inlineStr">
        <is>
          <t>סבב מלאי חודשי</t>
        </is>
      </c>
      <c r="H4" s="13" t="inlineStr">
        <is>
          <t>דירוג מכירות</t>
        </is>
      </c>
    </row>
    <row r="5" ht="20" customHeight="1">
      <c r="A5" s="14" t="inlineStr">
        <is>
          <t>גרנד קניון חיפה</t>
        </is>
      </c>
      <c r="B5" s="24">
        <f>SUMIF('מלאי לפי חנות'!$E$5:$E$76,$A5,'מלאי לפי חנות'!$L$5:$L$76)</f>
        <v/>
      </c>
      <c r="C5" s="24">
        <f>SUMIF('מלאי לפי חנות'!$E$5:$E$76,$A5,'מלאי לפי חנות'!$M$5:$M$76)</f>
        <v/>
      </c>
      <c r="D5" s="16">
        <f>COUNTIFS('מלאי לפי חנות'!$E$5:$E$76,$A5,'מלאי לפי חנות'!$I$5:$I$76,"אזל")</f>
        <v/>
      </c>
      <c r="E5" s="16">
        <f>COUNTIFS('מלאי לפי חנות'!$E$5:$E$76,$A5,'מלאי לפי חנות'!$I$5:$I$76,"קריטי")</f>
        <v/>
      </c>
      <c r="F5" s="17">
        <f>ROUND(AVERAGEIF('מלאי לפי חנות'!$E$5:$E$76,$A5,'מלאי לפי חנות'!$H$5:$H$76),1)</f>
        <v/>
      </c>
      <c r="G5" s="32">
        <f>IFERROR(ROUND(B5/C5,2),0)</f>
        <v/>
      </c>
      <c r="H5" s="16">
        <f>RANK(B5,$B$5:$B$10,0)</f>
        <v/>
      </c>
    </row>
    <row r="6" ht="20" customHeight="1">
      <c r="A6" s="18" t="inlineStr">
        <is>
          <t>קניון הקריון</t>
        </is>
      </c>
      <c r="B6" s="33">
        <f>SUMIF('מלאי לפי חנות'!$E$5:$E$76,$A6,'מלאי לפי חנות'!$L$5:$L$76)</f>
        <v/>
      </c>
      <c r="C6" s="33">
        <f>SUMIF('מלאי לפי חנות'!$E$5:$E$76,$A6,'מלאי לפי חנות'!$M$5:$M$76)</f>
        <v/>
      </c>
      <c r="D6" s="20">
        <f>COUNTIFS('מלאי לפי חנות'!$E$5:$E$76,$A6,'מלאי לפי חנות'!$I$5:$I$76,"אזל")</f>
        <v/>
      </c>
      <c r="E6" s="20">
        <f>COUNTIFS('מלאי לפי חנות'!$E$5:$E$76,$A6,'מלאי לפי חנות'!$I$5:$I$76,"קריטי")</f>
        <v/>
      </c>
      <c r="F6" s="21">
        <f>ROUND(AVERAGEIF('מלאי לפי חנות'!$E$5:$E$76,$A6,'מלאי לפי חנות'!$H$5:$H$76),1)</f>
        <v/>
      </c>
      <c r="G6" s="34">
        <f>IFERROR(ROUND(B6/C6,2),0)</f>
        <v/>
      </c>
      <c r="H6" s="20">
        <f>RANK(B6,$B$5:$B$10,0)</f>
        <v/>
      </c>
    </row>
    <row r="7" ht="20" customHeight="1">
      <c r="A7" s="14" t="inlineStr">
        <is>
          <t>חיפה — הדר</t>
        </is>
      </c>
      <c r="B7" s="24">
        <f>SUMIF('מלאי לפי חנות'!$E$5:$E$76,$A7,'מלאי לפי חנות'!$L$5:$L$76)</f>
        <v/>
      </c>
      <c r="C7" s="24">
        <f>SUMIF('מלאי לפי חנות'!$E$5:$E$76,$A7,'מלאי לפי חנות'!$M$5:$M$76)</f>
        <v/>
      </c>
      <c r="D7" s="16">
        <f>COUNTIFS('מלאי לפי חנות'!$E$5:$E$76,$A7,'מלאי לפי חנות'!$I$5:$I$76,"אזל")</f>
        <v/>
      </c>
      <c r="E7" s="16">
        <f>COUNTIFS('מלאי לפי חנות'!$E$5:$E$76,$A7,'מלאי לפי חנות'!$I$5:$I$76,"קריטי")</f>
        <v/>
      </c>
      <c r="F7" s="17">
        <f>ROUND(AVERAGEIF('מלאי לפי חנות'!$E$5:$E$76,$A7,'מלאי לפי חנות'!$H$5:$H$76),1)</f>
        <v/>
      </c>
      <c r="G7" s="32">
        <f>IFERROR(ROUND(B7/C7,2),0)</f>
        <v/>
      </c>
      <c r="H7" s="16">
        <f>RANK(B7,$B$5:$B$10,0)</f>
        <v/>
      </c>
    </row>
    <row r="8" ht="20" customHeight="1">
      <c r="A8" s="18" t="inlineStr">
        <is>
          <t>עזריאלי תל אביב</t>
        </is>
      </c>
      <c r="B8" s="33">
        <f>SUMIF('מלאי לפי חנות'!$E$5:$E$76,$A8,'מלאי לפי חנות'!$L$5:$L$76)</f>
        <v/>
      </c>
      <c r="C8" s="33">
        <f>SUMIF('מלאי לפי חנות'!$E$5:$E$76,$A8,'מלאי לפי חנות'!$M$5:$M$76)</f>
        <v/>
      </c>
      <c r="D8" s="20">
        <f>COUNTIFS('מלאי לפי חנות'!$E$5:$E$76,$A8,'מלאי לפי חנות'!$I$5:$I$76,"אזל")</f>
        <v/>
      </c>
      <c r="E8" s="20">
        <f>COUNTIFS('מלאי לפי חנות'!$E$5:$E$76,$A8,'מלאי לפי חנות'!$I$5:$I$76,"קריטי")</f>
        <v/>
      </c>
      <c r="F8" s="21">
        <f>ROUND(AVERAGEIF('מלאי לפי חנות'!$E$5:$E$76,$A8,'מלאי לפי חנות'!$H$5:$H$76),1)</f>
        <v/>
      </c>
      <c r="G8" s="34">
        <f>IFERROR(ROUND(B8/C8,2),0)</f>
        <v/>
      </c>
      <c r="H8" s="20">
        <f>RANK(B8,$B$5:$B$10,0)</f>
        <v/>
      </c>
    </row>
    <row r="9" ht="20" customHeight="1">
      <c r="A9" s="14" t="inlineStr">
        <is>
          <t>קניון מלחה ירושלים</t>
        </is>
      </c>
      <c r="B9" s="24">
        <f>SUMIF('מלאי לפי חנות'!$E$5:$E$76,$A9,'מלאי לפי חנות'!$L$5:$L$76)</f>
        <v/>
      </c>
      <c r="C9" s="24">
        <f>SUMIF('מלאי לפי חנות'!$E$5:$E$76,$A9,'מלאי לפי חנות'!$M$5:$M$76)</f>
        <v/>
      </c>
      <c r="D9" s="16">
        <f>COUNTIFS('מלאי לפי חנות'!$E$5:$E$76,$A9,'מלאי לפי חנות'!$I$5:$I$76,"אזל")</f>
        <v/>
      </c>
      <c r="E9" s="16">
        <f>COUNTIFS('מלאי לפי חנות'!$E$5:$E$76,$A9,'מלאי לפי חנות'!$I$5:$I$76,"קריטי")</f>
        <v/>
      </c>
      <c r="F9" s="17">
        <f>ROUND(AVERAGEIF('מלאי לפי חנות'!$E$5:$E$76,$A9,'מלאי לפי חנות'!$H$5:$H$76),1)</f>
        <v/>
      </c>
      <c r="G9" s="32">
        <f>IFERROR(ROUND(B9/C9,2),0)</f>
        <v/>
      </c>
      <c r="H9" s="16">
        <f>RANK(B9,$B$5:$B$10,0)</f>
        <v/>
      </c>
    </row>
    <row r="10" ht="20" customHeight="1">
      <c r="A10" s="18" t="inlineStr">
        <is>
          <t>מחסן אונליין</t>
        </is>
      </c>
      <c r="B10" s="33">
        <f>SUMIF('מלאי לפי חנות'!$E$5:$E$76,$A10,'מלאי לפי חנות'!$L$5:$L$76)</f>
        <v/>
      </c>
      <c r="C10" s="33">
        <f>SUMIF('מלאי לפי חנות'!$E$5:$E$76,$A10,'מלאי לפי חנות'!$M$5:$M$76)</f>
        <v/>
      </c>
      <c r="D10" s="20">
        <f>COUNTIFS('מלאי לפי חנות'!$E$5:$E$76,$A10,'מלאי לפי חנות'!$I$5:$I$76,"אזל")</f>
        <v/>
      </c>
      <c r="E10" s="20">
        <f>COUNTIFS('מלאי לפי חנות'!$E$5:$E$76,$A10,'מלאי לפי חנות'!$I$5:$I$76,"קריטי")</f>
        <v/>
      </c>
      <c r="F10" s="21">
        <f>ROUND(AVERAGEIF('מלאי לפי חנות'!$E$5:$E$76,$A10,'מלאי לפי חנות'!$H$5:$H$76),1)</f>
        <v/>
      </c>
      <c r="G10" s="34">
        <f>IFERROR(ROUND(B10/C10,2),0)</f>
        <v/>
      </c>
      <c r="H10" s="20">
        <f>RANK(B10,$B$5:$B$10,0)</f>
        <v/>
      </c>
    </row>
    <row r="11" ht="22" customHeight="1">
      <c r="A11" s="35" t="inlineStr">
        <is>
          <t>סה״כ</t>
        </is>
      </c>
      <c r="B11" s="36">
        <f>SUM(B5:B10)</f>
        <v/>
      </c>
      <c r="C11" s="36">
        <f>SUM(C5:C10)</f>
        <v/>
      </c>
      <c r="D11" s="37">
        <f>SUM(D5:D10)</f>
        <v/>
      </c>
      <c r="E11" s="37">
        <f>SUM(E5:E10)</f>
        <v/>
      </c>
      <c r="F11" s="35" t="inlineStr"/>
      <c r="G11" s="35" t="inlineStr"/>
      <c r="H11" s="35" t="inlineStr"/>
    </row>
    <row r="13">
      <c r="A13" s="26" t="inlineStr">
        <is>
          <t>סבב מלאי = כמה פעמים המלאי מתחלף בחודש. גבוה יותר = הסחורה זזה מהר יותר.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1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6" customWidth="1" min="14" max="14"/>
  </cols>
  <sheetData>
    <row r="1" ht="30" customHeight="1">
      <c r="A1" s="1" t="inlineStr">
        <is>
          <t>הכנסות לפי חנות — 2026</t>
        </is>
      </c>
    </row>
    <row r="2" ht="16" customHeight="1">
      <c r="A2" s="2" t="inlineStr">
        <is>
          <t>ינואר מגיע מגיליון המלאי. שאר החודשים = ינואר × מקדם העונתיות.</t>
        </is>
      </c>
    </row>
    <row r="4" ht="32" customHeight="1">
      <c r="A4" s="13" t="inlineStr">
        <is>
          <t>חנות</t>
        </is>
      </c>
      <c r="B4" s="13" t="inlineStr">
        <is>
          <t>ינואר</t>
        </is>
      </c>
      <c r="C4" s="13" t="inlineStr">
        <is>
          <t>פברואר</t>
        </is>
      </c>
      <c r="D4" s="13" t="inlineStr">
        <is>
          <t>מרץ</t>
        </is>
      </c>
      <c r="E4" s="13" t="inlineStr">
        <is>
          <t>אפריל</t>
        </is>
      </c>
      <c r="F4" s="13" t="inlineStr">
        <is>
          <t>מאי</t>
        </is>
      </c>
      <c r="G4" s="13" t="inlineStr">
        <is>
          <t>יוני</t>
        </is>
      </c>
      <c r="H4" s="13" t="inlineStr">
        <is>
          <t>יולי</t>
        </is>
      </c>
      <c r="I4" s="13" t="inlineStr">
        <is>
          <t>אוגוסט</t>
        </is>
      </c>
      <c r="J4" s="13" t="inlineStr">
        <is>
          <t>ספטמבר</t>
        </is>
      </c>
      <c r="K4" s="13" t="inlineStr">
        <is>
          <t>אוקטובר</t>
        </is>
      </c>
      <c r="L4" s="13" t="inlineStr">
        <is>
          <t>נובמבר</t>
        </is>
      </c>
      <c r="M4" s="13" t="inlineStr">
        <is>
          <t>דצמבר</t>
        </is>
      </c>
      <c r="N4" s="13" t="inlineStr">
        <is>
          <t>סה״כ שנתי</t>
        </is>
      </c>
    </row>
    <row r="5" ht="20" customHeight="1">
      <c r="A5" s="14" t="inlineStr">
        <is>
          <t>גרנד קניון חיפה</t>
        </is>
      </c>
      <c r="B5" s="28">
        <f>SUMIF('מלאי לפי חנות'!$E$5:$E$76,$A5,'מלאי לפי חנות'!$L$5:$L$76)</f>
        <v/>
      </c>
      <c r="C5" s="28">
        <f>$B5*INDEX('הנחות ופרמטרים'!$B$15:$M$15,2)</f>
        <v/>
      </c>
      <c r="D5" s="28">
        <f>$B5*INDEX('הנחות ופרמטרים'!$B$15:$M$15,3)</f>
        <v/>
      </c>
      <c r="E5" s="28">
        <f>$B5*INDEX('הנחות ופרמטרים'!$B$15:$M$15,4)</f>
        <v/>
      </c>
      <c r="F5" s="28">
        <f>$B5*INDEX('הנחות ופרמטרים'!$B$15:$M$15,5)</f>
        <v/>
      </c>
      <c r="G5" s="28">
        <f>$B5*INDEX('הנחות ופרמטרים'!$B$15:$M$15,6)</f>
        <v/>
      </c>
      <c r="H5" s="28">
        <f>$B5*INDEX('הנחות ופרמטרים'!$B$15:$M$15,7)</f>
        <v/>
      </c>
      <c r="I5" s="28">
        <f>$B5*INDEX('הנחות ופרמטרים'!$B$15:$M$15,8)</f>
        <v/>
      </c>
      <c r="J5" s="28">
        <f>$B5*INDEX('הנחות ופרמטרים'!$B$15:$M$15,9)</f>
        <v/>
      </c>
      <c r="K5" s="28">
        <f>$B5*INDEX('הנחות ופרמטרים'!$B$15:$M$15,10)</f>
        <v/>
      </c>
      <c r="L5" s="28">
        <f>$B5*INDEX('הנחות ופרמטרים'!$B$15:$M$15,11)</f>
        <v/>
      </c>
      <c r="M5" s="28">
        <f>$B5*INDEX('הנחות ופרמטרים'!$B$15:$M$15,12)</f>
        <v/>
      </c>
      <c r="N5" s="28">
        <f>SUM(B5:M5)</f>
        <v/>
      </c>
    </row>
    <row r="6" ht="20" customHeight="1">
      <c r="A6" s="18" t="inlineStr">
        <is>
          <t>קניון הקריון</t>
        </is>
      </c>
      <c r="B6" s="31">
        <f>SUMIF('מלאי לפי חנות'!$E$5:$E$76,$A6,'מלאי לפי חנות'!$L$5:$L$76)</f>
        <v/>
      </c>
      <c r="C6" s="31">
        <f>$B6*INDEX('הנחות ופרמטרים'!$B$15:$M$15,2)</f>
        <v/>
      </c>
      <c r="D6" s="31">
        <f>$B6*INDEX('הנחות ופרמטרים'!$B$15:$M$15,3)</f>
        <v/>
      </c>
      <c r="E6" s="31">
        <f>$B6*INDEX('הנחות ופרמטרים'!$B$15:$M$15,4)</f>
        <v/>
      </c>
      <c r="F6" s="31">
        <f>$B6*INDEX('הנחות ופרמטרים'!$B$15:$M$15,5)</f>
        <v/>
      </c>
      <c r="G6" s="31">
        <f>$B6*INDEX('הנחות ופרמטרים'!$B$15:$M$15,6)</f>
        <v/>
      </c>
      <c r="H6" s="31">
        <f>$B6*INDEX('הנחות ופרמטרים'!$B$15:$M$15,7)</f>
        <v/>
      </c>
      <c r="I6" s="31">
        <f>$B6*INDEX('הנחות ופרמטרים'!$B$15:$M$15,8)</f>
        <v/>
      </c>
      <c r="J6" s="31">
        <f>$B6*INDEX('הנחות ופרמטרים'!$B$15:$M$15,9)</f>
        <v/>
      </c>
      <c r="K6" s="31">
        <f>$B6*INDEX('הנחות ופרמטרים'!$B$15:$M$15,10)</f>
        <v/>
      </c>
      <c r="L6" s="31">
        <f>$B6*INDEX('הנחות ופרמטרים'!$B$15:$M$15,11)</f>
        <v/>
      </c>
      <c r="M6" s="31">
        <f>$B6*INDEX('הנחות ופרמטרים'!$B$15:$M$15,12)</f>
        <v/>
      </c>
      <c r="N6" s="31">
        <f>SUM(B6:M6)</f>
        <v/>
      </c>
    </row>
    <row r="7" ht="20" customHeight="1">
      <c r="A7" s="14" t="inlineStr">
        <is>
          <t>חיפה — הדר</t>
        </is>
      </c>
      <c r="B7" s="28">
        <f>SUMIF('מלאי לפי חנות'!$E$5:$E$76,$A7,'מלאי לפי חנות'!$L$5:$L$76)</f>
        <v/>
      </c>
      <c r="C7" s="28">
        <f>$B7*INDEX('הנחות ופרמטרים'!$B$15:$M$15,2)</f>
        <v/>
      </c>
      <c r="D7" s="28">
        <f>$B7*INDEX('הנחות ופרמטרים'!$B$15:$M$15,3)</f>
        <v/>
      </c>
      <c r="E7" s="28">
        <f>$B7*INDEX('הנחות ופרמטרים'!$B$15:$M$15,4)</f>
        <v/>
      </c>
      <c r="F7" s="28">
        <f>$B7*INDEX('הנחות ופרמטרים'!$B$15:$M$15,5)</f>
        <v/>
      </c>
      <c r="G7" s="28">
        <f>$B7*INDEX('הנחות ופרמטרים'!$B$15:$M$15,6)</f>
        <v/>
      </c>
      <c r="H7" s="28">
        <f>$B7*INDEX('הנחות ופרמטרים'!$B$15:$M$15,7)</f>
        <v/>
      </c>
      <c r="I7" s="28">
        <f>$B7*INDEX('הנחות ופרמטרים'!$B$15:$M$15,8)</f>
        <v/>
      </c>
      <c r="J7" s="28">
        <f>$B7*INDEX('הנחות ופרמטרים'!$B$15:$M$15,9)</f>
        <v/>
      </c>
      <c r="K7" s="28">
        <f>$B7*INDEX('הנחות ופרמטרים'!$B$15:$M$15,10)</f>
        <v/>
      </c>
      <c r="L7" s="28">
        <f>$B7*INDEX('הנחות ופרמטרים'!$B$15:$M$15,11)</f>
        <v/>
      </c>
      <c r="M7" s="28">
        <f>$B7*INDEX('הנחות ופרמטרים'!$B$15:$M$15,12)</f>
        <v/>
      </c>
      <c r="N7" s="28">
        <f>SUM(B7:M7)</f>
        <v/>
      </c>
    </row>
    <row r="8" ht="20" customHeight="1">
      <c r="A8" s="18" t="inlineStr">
        <is>
          <t>עזריאלי תל אביב</t>
        </is>
      </c>
      <c r="B8" s="31">
        <f>SUMIF('מלאי לפי חנות'!$E$5:$E$76,$A8,'מלאי לפי חנות'!$L$5:$L$76)</f>
        <v/>
      </c>
      <c r="C8" s="31">
        <f>$B8*INDEX('הנחות ופרמטרים'!$B$15:$M$15,2)</f>
        <v/>
      </c>
      <c r="D8" s="31">
        <f>$B8*INDEX('הנחות ופרמטרים'!$B$15:$M$15,3)</f>
        <v/>
      </c>
      <c r="E8" s="31">
        <f>$B8*INDEX('הנחות ופרמטרים'!$B$15:$M$15,4)</f>
        <v/>
      </c>
      <c r="F8" s="31">
        <f>$B8*INDEX('הנחות ופרמטרים'!$B$15:$M$15,5)</f>
        <v/>
      </c>
      <c r="G8" s="31">
        <f>$B8*INDEX('הנחות ופרמטרים'!$B$15:$M$15,6)</f>
        <v/>
      </c>
      <c r="H8" s="31">
        <f>$B8*INDEX('הנחות ופרמטרים'!$B$15:$M$15,7)</f>
        <v/>
      </c>
      <c r="I8" s="31">
        <f>$B8*INDEX('הנחות ופרמטרים'!$B$15:$M$15,8)</f>
        <v/>
      </c>
      <c r="J8" s="31">
        <f>$B8*INDEX('הנחות ופרמטרים'!$B$15:$M$15,9)</f>
        <v/>
      </c>
      <c r="K8" s="31">
        <f>$B8*INDEX('הנחות ופרמטרים'!$B$15:$M$15,10)</f>
        <v/>
      </c>
      <c r="L8" s="31">
        <f>$B8*INDEX('הנחות ופרמטרים'!$B$15:$M$15,11)</f>
        <v/>
      </c>
      <c r="M8" s="31">
        <f>$B8*INDEX('הנחות ופרמטרים'!$B$15:$M$15,12)</f>
        <v/>
      </c>
      <c r="N8" s="31">
        <f>SUM(B8:M8)</f>
        <v/>
      </c>
    </row>
    <row r="9" ht="20" customHeight="1">
      <c r="A9" s="14" t="inlineStr">
        <is>
          <t>קניון מלחה ירושלים</t>
        </is>
      </c>
      <c r="B9" s="28">
        <f>SUMIF('מלאי לפי חנות'!$E$5:$E$76,$A9,'מלאי לפי חנות'!$L$5:$L$76)</f>
        <v/>
      </c>
      <c r="C9" s="28">
        <f>$B9*INDEX('הנחות ופרמטרים'!$B$15:$M$15,2)</f>
        <v/>
      </c>
      <c r="D9" s="28">
        <f>$B9*INDEX('הנחות ופרמטרים'!$B$15:$M$15,3)</f>
        <v/>
      </c>
      <c r="E9" s="28">
        <f>$B9*INDEX('הנחות ופרמטרים'!$B$15:$M$15,4)</f>
        <v/>
      </c>
      <c r="F9" s="28">
        <f>$B9*INDEX('הנחות ופרמטרים'!$B$15:$M$15,5)</f>
        <v/>
      </c>
      <c r="G9" s="28">
        <f>$B9*INDEX('הנחות ופרמטרים'!$B$15:$M$15,6)</f>
        <v/>
      </c>
      <c r="H9" s="28">
        <f>$B9*INDEX('הנחות ופרמטרים'!$B$15:$M$15,7)</f>
        <v/>
      </c>
      <c r="I9" s="28">
        <f>$B9*INDEX('הנחות ופרמטרים'!$B$15:$M$15,8)</f>
        <v/>
      </c>
      <c r="J9" s="28">
        <f>$B9*INDEX('הנחות ופרמטרים'!$B$15:$M$15,9)</f>
        <v/>
      </c>
      <c r="K9" s="28">
        <f>$B9*INDEX('הנחות ופרמטרים'!$B$15:$M$15,10)</f>
        <v/>
      </c>
      <c r="L9" s="28">
        <f>$B9*INDEX('הנחות ופרמטרים'!$B$15:$M$15,11)</f>
        <v/>
      </c>
      <c r="M9" s="28">
        <f>$B9*INDEX('הנחות ופרמטרים'!$B$15:$M$15,12)</f>
        <v/>
      </c>
      <c r="N9" s="28">
        <f>SUM(B9:M9)</f>
        <v/>
      </c>
    </row>
    <row r="10" ht="20" customHeight="1">
      <c r="A10" s="18" t="inlineStr">
        <is>
          <t>מחסן אונליין</t>
        </is>
      </c>
      <c r="B10" s="31">
        <f>SUMIF('מלאי לפי חנות'!$E$5:$E$76,$A10,'מלאי לפי חנות'!$L$5:$L$76)</f>
        <v/>
      </c>
      <c r="C10" s="31">
        <f>$B10*INDEX('הנחות ופרמטרים'!$B$15:$M$15,2)</f>
        <v/>
      </c>
      <c r="D10" s="31">
        <f>$B10*INDEX('הנחות ופרמטרים'!$B$15:$M$15,3)</f>
        <v/>
      </c>
      <c r="E10" s="31">
        <f>$B10*INDEX('הנחות ופרמטרים'!$B$15:$M$15,4)</f>
        <v/>
      </c>
      <c r="F10" s="31">
        <f>$B10*INDEX('הנחות ופרמטרים'!$B$15:$M$15,5)</f>
        <v/>
      </c>
      <c r="G10" s="31">
        <f>$B10*INDEX('הנחות ופרמטרים'!$B$15:$M$15,6)</f>
        <v/>
      </c>
      <c r="H10" s="31">
        <f>$B10*INDEX('הנחות ופרמטרים'!$B$15:$M$15,7)</f>
        <v/>
      </c>
      <c r="I10" s="31">
        <f>$B10*INDEX('הנחות ופרמטרים'!$B$15:$M$15,8)</f>
        <v/>
      </c>
      <c r="J10" s="31">
        <f>$B10*INDEX('הנחות ופרמטרים'!$B$15:$M$15,9)</f>
        <v/>
      </c>
      <c r="K10" s="31">
        <f>$B10*INDEX('הנחות ופרמטרים'!$B$15:$M$15,10)</f>
        <v/>
      </c>
      <c r="L10" s="31">
        <f>$B10*INDEX('הנחות ופרמטרים'!$B$15:$M$15,11)</f>
        <v/>
      </c>
      <c r="M10" s="31">
        <f>$B10*INDEX('הנחות ופרמטרים'!$B$15:$M$15,12)</f>
        <v/>
      </c>
      <c r="N10" s="31">
        <f>SUM(B10:M10)</f>
        <v/>
      </c>
    </row>
    <row r="11" ht="22" customHeight="1">
      <c r="A11" s="35" t="inlineStr">
        <is>
          <t>סה״כ הכנסות</t>
        </is>
      </c>
      <c r="B11" s="36">
        <f>SUM(B5:B10)</f>
        <v/>
      </c>
      <c r="C11" s="36">
        <f>SUM(C5:C10)</f>
        <v/>
      </c>
      <c r="D11" s="36">
        <f>SUM(D5:D10)</f>
        <v/>
      </c>
      <c r="E11" s="36">
        <f>SUM(E5:E10)</f>
        <v/>
      </c>
      <c r="F11" s="36">
        <f>SUM(F5:F10)</f>
        <v/>
      </c>
      <c r="G11" s="36">
        <f>SUM(G5:G10)</f>
        <v/>
      </c>
      <c r="H11" s="36">
        <f>SUM(H5:H10)</f>
        <v/>
      </c>
      <c r="I11" s="36">
        <f>SUM(I5:I10)</f>
        <v/>
      </c>
      <c r="J11" s="36">
        <f>SUM(J5:J10)</f>
        <v/>
      </c>
      <c r="K11" s="36">
        <f>SUM(K5:K10)</f>
        <v/>
      </c>
      <c r="L11" s="36">
        <f>SUM(L5:L10)</f>
        <v/>
      </c>
      <c r="M11" s="36">
        <f>SUM(M5:M10)</f>
        <v/>
      </c>
      <c r="N11" s="36">
        <f>SUM(N5:N10)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4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6" customWidth="1" min="14" max="14"/>
  </cols>
  <sheetData>
    <row r="1" ht="30" customHeight="1">
      <c r="A1" s="1" t="inlineStr">
        <is>
          <t>הוצאות תפעוליות — 2026</t>
        </is>
      </c>
    </row>
    <row r="2" ht="16" customHeight="1">
      <c r="A2" s="2" t="inlineStr">
        <is>
          <t>הוצאות קבועות. עולות בהדרגה לאורך השנה.</t>
        </is>
      </c>
    </row>
    <row r="4" ht="32" customHeight="1">
      <c r="A4" s="13" t="inlineStr">
        <is>
          <t>סעיף הוצאה</t>
        </is>
      </c>
      <c r="B4" s="13" t="inlineStr">
        <is>
          <t>ינואר</t>
        </is>
      </c>
      <c r="C4" s="13" t="inlineStr">
        <is>
          <t>פברואר</t>
        </is>
      </c>
      <c r="D4" s="13" t="inlineStr">
        <is>
          <t>מרץ</t>
        </is>
      </c>
      <c r="E4" s="13" t="inlineStr">
        <is>
          <t>אפריל</t>
        </is>
      </c>
      <c r="F4" s="13" t="inlineStr">
        <is>
          <t>מאי</t>
        </is>
      </c>
      <c r="G4" s="13" t="inlineStr">
        <is>
          <t>יוני</t>
        </is>
      </c>
      <c r="H4" s="13" t="inlineStr">
        <is>
          <t>יולי</t>
        </is>
      </c>
      <c r="I4" s="13" t="inlineStr">
        <is>
          <t>אוגוסט</t>
        </is>
      </c>
      <c r="J4" s="13" t="inlineStr">
        <is>
          <t>ספטמבר</t>
        </is>
      </c>
      <c r="K4" s="13" t="inlineStr">
        <is>
          <t>אוקטובר</t>
        </is>
      </c>
      <c r="L4" s="13" t="inlineStr">
        <is>
          <t>נובמבר</t>
        </is>
      </c>
      <c r="M4" s="13" t="inlineStr">
        <is>
          <t>דצמבר</t>
        </is>
      </c>
      <c r="N4" s="13" t="inlineStr">
        <is>
          <t>סה״כ שנתי</t>
        </is>
      </c>
    </row>
    <row r="5" ht="20" customHeight="1">
      <c r="A5" s="14" t="inlineStr">
        <is>
          <t>שכר ונלוות</t>
        </is>
      </c>
      <c r="B5" s="28" t="n">
        <v>168000</v>
      </c>
      <c r="C5" s="28" t="n">
        <v>166300</v>
      </c>
      <c r="D5" s="28" t="n">
        <v>171400</v>
      </c>
      <c r="E5" s="28" t="n">
        <v>169700</v>
      </c>
      <c r="F5" s="28" t="n">
        <v>174700</v>
      </c>
      <c r="G5" s="28" t="n">
        <v>178100</v>
      </c>
      <c r="H5" s="28" t="n">
        <v>176400</v>
      </c>
      <c r="I5" s="28" t="n">
        <v>179800</v>
      </c>
      <c r="J5" s="28" t="n">
        <v>178100</v>
      </c>
      <c r="K5" s="28" t="n">
        <v>181400</v>
      </c>
      <c r="L5" s="28" t="n">
        <v>184800</v>
      </c>
      <c r="M5" s="28" t="n">
        <v>193200</v>
      </c>
      <c r="N5" s="28">
        <f>SUM(B5:M5)</f>
        <v/>
      </c>
    </row>
    <row r="6" ht="20" customHeight="1">
      <c r="A6" s="18" t="inlineStr">
        <is>
          <t>שכר דירה וארנונה</t>
        </is>
      </c>
      <c r="B6" s="31" t="n">
        <v>62000</v>
      </c>
      <c r="C6" s="31" t="n">
        <v>61400</v>
      </c>
      <c r="D6" s="31" t="n">
        <v>63200</v>
      </c>
      <c r="E6" s="31" t="n">
        <v>62600</v>
      </c>
      <c r="F6" s="31" t="n">
        <v>64500</v>
      </c>
      <c r="G6" s="31" t="n">
        <v>65700</v>
      </c>
      <c r="H6" s="31" t="n">
        <v>65100</v>
      </c>
      <c r="I6" s="31" t="n">
        <v>66300</v>
      </c>
      <c r="J6" s="31" t="n">
        <v>65700</v>
      </c>
      <c r="K6" s="31" t="n">
        <v>67000</v>
      </c>
      <c r="L6" s="31" t="n">
        <v>68200</v>
      </c>
      <c r="M6" s="31" t="n">
        <v>71300</v>
      </c>
      <c r="N6" s="31">
        <f>SUM(B6:M6)</f>
        <v/>
      </c>
    </row>
    <row r="7" ht="20" customHeight="1">
      <c r="A7" s="14" t="inlineStr">
        <is>
          <t>שיווק ופרסום</t>
        </is>
      </c>
      <c r="B7" s="28" t="n">
        <v>41500</v>
      </c>
      <c r="C7" s="28" t="n">
        <v>41100</v>
      </c>
      <c r="D7" s="28" t="n">
        <v>42300</v>
      </c>
      <c r="E7" s="28" t="n">
        <v>41900</v>
      </c>
      <c r="F7" s="28" t="n">
        <v>43200</v>
      </c>
      <c r="G7" s="28" t="n">
        <v>44000</v>
      </c>
      <c r="H7" s="28" t="n">
        <v>43600</v>
      </c>
      <c r="I7" s="28" t="n">
        <v>44400</v>
      </c>
      <c r="J7" s="28" t="n">
        <v>44000</v>
      </c>
      <c r="K7" s="28" t="n">
        <v>44800</v>
      </c>
      <c r="L7" s="28" t="n">
        <v>45700</v>
      </c>
      <c r="M7" s="28" t="n">
        <v>47700</v>
      </c>
      <c r="N7" s="28">
        <f>SUM(B7:M7)</f>
        <v/>
      </c>
    </row>
    <row r="8" ht="20" customHeight="1">
      <c r="A8" s="18" t="inlineStr">
        <is>
          <t>חשמל, מים ותקשורת</t>
        </is>
      </c>
      <c r="B8" s="31" t="n">
        <v>11800</v>
      </c>
      <c r="C8" s="31" t="n">
        <v>11700</v>
      </c>
      <c r="D8" s="31" t="n">
        <v>12000</v>
      </c>
      <c r="E8" s="31" t="n">
        <v>11900</v>
      </c>
      <c r="F8" s="31" t="n">
        <v>12300</v>
      </c>
      <c r="G8" s="31" t="n">
        <v>12500</v>
      </c>
      <c r="H8" s="31" t="n">
        <v>12400</v>
      </c>
      <c r="I8" s="31" t="n">
        <v>12600</v>
      </c>
      <c r="J8" s="31" t="n">
        <v>12500</v>
      </c>
      <c r="K8" s="31" t="n">
        <v>12700</v>
      </c>
      <c r="L8" s="31" t="n">
        <v>13000</v>
      </c>
      <c r="M8" s="31" t="n">
        <v>13600</v>
      </c>
      <c r="N8" s="31">
        <f>SUM(B8:M8)</f>
        <v/>
      </c>
    </row>
    <row r="9" ht="20" customHeight="1">
      <c r="A9" s="14" t="inlineStr">
        <is>
          <t>הוצאות משרד</t>
        </is>
      </c>
      <c r="B9" s="28" t="n">
        <v>7400</v>
      </c>
      <c r="C9" s="28" t="n">
        <v>7300</v>
      </c>
      <c r="D9" s="28" t="n">
        <v>7500</v>
      </c>
      <c r="E9" s="28" t="n">
        <v>7500</v>
      </c>
      <c r="F9" s="28" t="n">
        <v>7700</v>
      </c>
      <c r="G9" s="28" t="n">
        <v>7800</v>
      </c>
      <c r="H9" s="28" t="n">
        <v>7800</v>
      </c>
      <c r="I9" s="28" t="n">
        <v>7900</v>
      </c>
      <c r="J9" s="28" t="n">
        <v>7800</v>
      </c>
      <c r="K9" s="28" t="n">
        <v>8000</v>
      </c>
      <c r="L9" s="28" t="n">
        <v>8100</v>
      </c>
      <c r="M9" s="28" t="n">
        <v>8500</v>
      </c>
      <c r="N9" s="28">
        <f>SUM(B9:M9)</f>
        <v/>
      </c>
    </row>
    <row r="10" ht="20" customHeight="1">
      <c r="A10" s="18" t="inlineStr">
        <is>
          <t>עמלות סליקה</t>
        </is>
      </c>
      <c r="B10" s="31" t="n">
        <v>14200</v>
      </c>
      <c r="C10" s="31" t="n">
        <v>14100</v>
      </c>
      <c r="D10" s="31" t="n">
        <v>14500</v>
      </c>
      <c r="E10" s="31" t="n">
        <v>14300</v>
      </c>
      <c r="F10" s="31" t="n">
        <v>14800</v>
      </c>
      <c r="G10" s="31" t="n">
        <v>15100</v>
      </c>
      <c r="H10" s="31" t="n">
        <v>14900</v>
      </c>
      <c r="I10" s="31" t="n">
        <v>15200</v>
      </c>
      <c r="J10" s="31" t="n">
        <v>15100</v>
      </c>
      <c r="K10" s="31" t="n">
        <v>15300</v>
      </c>
      <c r="L10" s="31" t="n">
        <v>15600</v>
      </c>
      <c r="M10" s="31" t="n">
        <v>16300</v>
      </c>
      <c r="N10" s="31">
        <f>SUM(B10:M10)</f>
        <v/>
      </c>
    </row>
    <row r="11" ht="20" customHeight="1">
      <c r="A11" s="14" t="inlineStr">
        <is>
          <t>הובלה ושילוח</t>
        </is>
      </c>
      <c r="B11" s="28" t="n">
        <v>19600</v>
      </c>
      <c r="C11" s="28" t="n">
        <v>19400</v>
      </c>
      <c r="D11" s="28" t="n">
        <v>20000</v>
      </c>
      <c r="E11" s="28" t="n">
        <v>19800</v>
      </c>
      <c r="F11" s="28" t="n">
        <v>20400</v>
      </c>
      <c r="G11" s="28" t="n">
        <v>20800</v>
      </c>
      <c r="H11" s="28" t="n">
        <v>20600</v>
      </c>
      <c r="I11" s="28" t="n">
        <v>21000</v>
      </c>
      <c r="J11" s="28" t="n">
        <v>20800</v>
      </c>
      <c r="K11" s="28" t="n">
        <v>21200</v>
      </c>
      <c r="L11" s="28" t="n">
        <v>21600</v>
      </c>
      <c r="M11" s="28" t="n">
        <v>22500</v>
      </c>
      <c r="N11" s="28">
        <f>SUM(B11:M11)</f>
        <v/>
      </c>
    </row>
    <row r="12" ht="20" customHeight="1">
      <c r="A12" s="18" t="inlineStr">
        <is>
          <t>ביטוח</t>
        </is>
      </c>
      <c r="B12" s="31" t="n">
        <v>8300</v>
      </c>
      <c r="C12" s="31" t="n">
        <v>8200</v>
      </c>
      <c r="D12" s="31" t="n">
        <v>8500</v>
      </c>
      <c r="E12" s="31" t="n">
        <v>8400</v>
      </c>
      <c r="F12" s="31" t="n">
        <v>8600</v>
      </c>
      <c r="G12" s="31" t="n">
        <v>8800</v>
      </c>
      <c r="H12" s="31" t="n">
        <v>8700</v>
      </c>
      <c r="I12" s="31" t="n">
        <v>8900</v>
      </c>
      <c r="J12" s="31" t="n">
        <v>8800</v>
      </c>
      <c r="K12" s="31" t="n">
        <v>9000</v>
      </c>
      <c r="L12" s="31" t="n">
        <v>9100</v>
      </c>
      <c r="M12" s="31" t="n">
        <v>9500</v>
      </c>
      <c r="N12" s="31">
        <f>SUM(B12:M12)</f>
        <v/>
      </c>
    </row>
    <row r="13" ht="20" customHeight="1">
      <c r="A13" s="14" t="inlineStr">
        <is>
          <t>פחת והפחתות</t>
        </is>
      </c>
      <c r="B13" s="28" t="n">
        <v>12000</v>
      </c>
      <c r="C13" s="28" t="n">
        <v>11900</v>
      </c>
      <c r="D13" s="28" t="n">
        <v>12200</v>
      </c>
      <c r="E13" s="28" t="n">
        <v>12100</v>
      </c>
      <c r="F13" s="28" t="n">
        <v>12500</v>
      </c>
      <c r="G13" s="28" t="n">
        <v>12700</v>
      </c>
      <c r="H13" s="28" t="n">
        <v>12600</v>
      </c>
      <c r="I13" s="28" t="n">
        <v>12800</v>
      </c>
      <c r="J13" s="28" t="n">
        <v>12700</v>
      </c>
      <c r="K13" s="28" t="n">
        <v>13000</v>
      </c>
      <c r="L13" s="28" t="n">
        <v>13200</v>
      </c>
      <c r="M13" s="28" t="n">
        <v>13800</v>
      </c>
      <c r="N13" s="28">
        <f>SUM(B13:M13)</f>
        <v/>
      </c>
    </row>
    <row r="14" ht="22" customHeight="1">
      <c r="A14" s="35" t="inlineStr">
        <is>
          <t>סה״כ הוצאות</t>
        </is>
      </c>
      <c r="B14" s="36">
        <f>SUM(B5:B13)</f>
        <v/>
      </c>
      <c r="C14" s="36">
        <f>SUM(C5:C13)</f>
        <v/>
      </c>
      <c r="D14" s="36">
        <f>SUM(D5:D13)</f>
        <v/>
      </c>
      <c r="E14" s="36">
        <f>SUM(E5:E13)</f>
        <v/>
      </c>
      <c r="F14" s="36">
        <f>SUM(F5:F13)</f>
        <v/>
      </c>
      <c r="G14" s="36">
        <f>SUM(G5:G13)</f>
        <v/>
      </c>
      <c r="H14" s="36">
        <f>SUM(H5:H13)</f>
        <v/>
      </c>
      <c r="I14" s="36">
        <f>SUM(I5:I13)</f>
        <v/>
      </c>
      <c r="J14" s="36">
        <f>SUM(J5:J13)</f>
        <v/>
      </c>
      <c r="K14" s="36">
        <f>SUM(K5:K13)</f>
        <v/>
      </c>
      <c r="L14" s="36">
        <f>SUM(L5:L13)</f>
        <v/>
      </c>
      <c r="M14" s="36">
        <f>SUM(M5:M13)</f>
        <v/>
      </c>
      <c r="N14" s="36">
        <f>SUM(N5:N13)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15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6" customWidth="1" min="14" max="14"/>
  </cols>
  <sheetData>
    <row r="1" ht="30" customHeight="1">
      <c r="A1" s="1" t="inlineStr">
        <is>
          <t>רווח והפסד — 2026</t>
        </is>
      </c>
    </row>
    <row r="2" ht="16" customHeight="1">
      <c r="A2" s="2" t="inlineStr">
        <is>
          <t>מלמעלה למטה: כמה נכנס, מה ירד ממנו, ומה נשאר בסוף.</t>
        </is>
      </c>
    </row>
    <row r="4" ht="32" customHeight="1">
      <c r="A4" s="13" t="inlineStr">
        <is>
          <t>סעיף</t>
        </is>
      </c>
      <c r="B4" s="13" t="inlineStr">
        <is>
          <t>ינואר</t>
        </is>
      </c>
      <c r="C4" s="13" t="inlineStr">
        <is>
          <t>פברואר</t>
        </is>
      </c>
      <c r="D4" s="13" t="inlineStr">
        <is>
          <t>מרץ</t>
        </is>
      </c>
      <c r="E4" s="13" t="inlineStr">
        <is>
          <t>אפריל</t>
        </is>
      </c>
      <c r="F4" s="13" t="inlineStr">
        <is>
          <t>מאי</t>
        </is>
      </c>
      <c r="G4" s="13" t="inlineStr">
        <is>
          <t>יוני</t>
        </is>
      </c>
      <c r="H4" s="13" t="inlineStr">
        <is>
          <t>יולי</t>
        </is>
      </c>
      <c r="I4" s="13" t="inlineStr">
        <is>
          <t>אוגוסט</t>
        </is>
      </c>
      <c r="J4" s="13" t="inlineStr">
        <is>
          <t>ספטמבר</t>
        </is>
      </c>
      <c r="K4" s="13" t="inlineStr">
        <is>
          <t>אוקטובר</t>
        </is>
      </c>
      <c r="L4" s="13" t="inlineStr">
        <is>
          <t>נובמבר</t>
        </is>
      </c>
      <c r="M4" s="13" t="inlineStr">
        <is>
          <t>דצמבר</t>
        </is>
      </c>
      <c r="N4" s="13" t="inlineStr">
        <is>
          <t>סה״כ שנתי</t>
        </is>
      </c>
    </row>
    <row r="5" ht="20" customHeight="1">
      <c r="A5" s="14" t="inlineStr">
        <is>
          <t>הכנסות ברוטו</t>
        </is>
      </c>
      <c r="B5" s="38">
        <f>'הכנסות'!B11</f>
        <v/>
      </c>
      <c r="C5" s="38">
        <f>'הכנסות'!C11</f>
        <v/>
      </c>
      <c r="D5" s="38">
        <f>'הכנסות'!D11</f>
        <v/>
      </c>
      <c r="E5" s="38">
        <f>'הכנסות'!E11</f>
        <v/>
      </c>
      <c r="F5" s="38">
        <f>'הכנסות'!F11</f>
        <v/>
      </c>
      <c r="G5" s="38">
        <f>'הכנסות'!G11</f>
        <v/>
      </c>
      <c r="H5" s="38">
        <f>'הכנסות'!H11</f>
        <v/>
      </c>
      <c r="I5" s="38">
        <f>'הכנסות'!I11</f>
        <v/>
      </c>
      <c r="J5" s="38">
        <f>'הכנסות'!J11</f>
        <v/>
      </c>
      <c r="K5" s="38">
        <f>'הכנסות'!K11</f>
        <v/>
      </c>
      <c r="L5" s="38">
        <f>'הכנסות'!L11</f>
        <v/>
      </c>
      <c r="M5" s="38">
        <f>'הכנסות'!M11</f>
        <v/>
      </c>
      <c r="N5" s="38">
        <f>SUM(B5:M5)</f>
        <v/>
      </c>
    </row>
    <row r="6" ht="20" customHeight="1">
      <c r="A6" s="14" t="inlineStr">
        <is>
          <t>בניכוי מע״מ</t>
        </is>
      </c>
      <c r="B6" s="38">
        <f>-B5*'הנחות ופרמטרים'!$B$5/(1+'הנחות ופרמטרים'!$B$5)</f>
        <v/>
      </c>
      <c r="C6" s="38">
        <f>-C5*'הנחות ופרמטרים'!$B$5/(1+'הנחות ופרמטרים'!$B$5)</f>
        <v/>
      </c>
      <c r="D6" s="38">
        <f>-D5*'הנחות ופרמטרים'!$B$5/(1+'הנחות ופרמטרים'!$B$5)</f>
        <v/>
      </c>
      <c r="E6" s="38">
        <f>-E5*'הנחות ופרמטרים'!$B$5/(1+'הנחות ופרמטרים'!$B$5)</f>
        <v/>
      </c>
      <c r="F6" s="38">
        <f>-F5*'הנחות ופרמטרים'!$B$5/(1+'הנחות ופרמטרים'!$B$5)</f>
        <v/>
      </c>
      <c r="G6" s="38">
        <f>-G5*'הנחות ופרמטרים'!$B$5/(1+'הנחות ופרמטרים'!$B$5)</f>
        <v/>
      </c>
      <c r="H6" s="38">
        <f>-H5*'הנחות ופרמטרים'!$B$5/(1+'הנחות ופרמטרים'!$B$5)</f>
        <v/>
      </c>
      <c r="I6" s="38">
        <f>-I5*'הנחות ופרמטרים'!$B$5/(1+'הנחות ופרמטרים'!$B$5)</f>
        <v/>
      </c>
      <c r="J6" s="38">
        <f>-J5*'הנחות ופרמטרים'!$B$5/(1+'הנחות ופרמטרים'!$B$5)</f>
        <v/>
      </c>
      <c r="K6" s="38">
        <f>-K5*'הנחות ופרמטרים'!$B$5/(1+'הנחות ופרמטרים'!$B$5)</f>
        <v/>
      </c>
      <c r="L6" s="38">
        <f>-L5*'הנחות ופרמטרים'!$B$5/(1+'הנחות ופרמטרים'!$B$5)</f>
        <v/>
      </c>
      <c r="M6" s="38">
        <f>-M5*'הנחות ופרמטרים'!$B$5/(1+'הנחות ופרמטרים'!$B$5)</f>
        <v/>
      </c>
      <c r="N6" s="38">
        <f>SUM(B6:M6)</f>
        <v/>
      </c>
    </row>
    <row r="7" ht="22" customHeight="1">
      <c r="A7" s="35" t="inlineStr">
        <is>
          <t>הכנסות נטו</t>
        </is>
      </c>
      <c r="B7" s="39">
        <f>B5+B6</f>
        <v/>
      </c>
      <c r="C7" s="39">
        <f>C5+C6</f>
        <v/>
      </c>
      <c r="D7" s="39">
        <f>D5+D6</f>
        <v/>
      </c>
      <c r="E7" s="39">
        <f>E5+E6</f>
        <v/>
      </c>
      <c r="F7" s="39">
        <f>F5+F6</f>
        <v/>
      </c>
      <c r="G7" s="39">
        <f>G5+G6</f>
        <v/>
      </c>
      <c r="H7" s="39">
        <f>H5+H6</f>
        <v/>
      </c>
      <c r="I7" s="39">
        <f>I5+I6</f>
        <v/>
      </c>
      <c r="J7" s="39">
        <f>J5+J6</f>
        <v/>
      </c>
      <c r="K7" s="39">
        <f>K5+K6</f>
        <v/>
      </c>
      <c r="L7" s="39">
        <f>L5+L6</f>
        <v/>
      </c>
      <c r="M7" s="39">
        <f>M5+M6</f>
        <v/>
      </c>
      <c r="N7" s="39">
        <f>SUM(B7:M7)</f>
        <v/>
      </c>
    </row>
    <row r="8" ht="20" customHeight="1">
      <c r="A8" s="14" t="inlineStr">
        <is>
          <t>בניכוי עלות הסחורה</t>
        </is>
      </c>
      <c r="B8" s="38">
        <f>-B7*'הנחות ופרמטרים'!$B$6</f>
        <v/>
      </c>
      <c r="C8" s="38">
        <f>-C7*'הנחות ופרמטרים'!$B$6</f>
        <v/>
      </c>
      <c r="D8" s="38">
        <f>-D7*'הנחות ופרמטרים'!$B$6</f>
        <v/>
      </c>
      <c r="E8" s="38">
        <f>-E7*'הנחות ופרמטרים'!$B$6</f>
        <v/>
      </c>
      <c r="F8" s="38">
        <f>-F7*'הנחות ופרמטרים'!$B$6</f>
        <v/>
      </c>
      <c r="G8" s="38">
        <f>-G7*'הנחות ופרמטרים'!$B$6</f>
        <v/>
      </c>
      <c r="H8" s="38">
        <f>-H7*'הנחות ופרמטרים'!$B$6</f>
        <v/>
      </c>
      <c r="I8" s="38">
        <f>-I7*'הנחות ופרמטרים'!$B$6</f>
        <v/>
      </c>
      <c r="J8" s="38">
        <f>-J7*'הנחות ופרמטרים'!$B$6</f>
        <v/>
      </c>
      <c r="K8" s="38">
        <f>-K7*'הנחות ופרמטרים'!$B$6</f>
        <v/>
      </c>
      <c r="L8" s="38">
        <f>-L7*'הנחות ופרמטרים'!$B$6</f>
        <v/>
      </c>
      <c r="M8" s="38">
        <f>-M7*'הנחות ופרמטרים'!$B$6</f>
        <v/>
      </c>
      <c r="N8" s="38">
        <f>SUM(B8:M8)</f>
        <v/>
      </c>
    </row>
    <row r="9" ht="22" customHeight="1">
      <c r="A9" s="35" t="inlineStr">
        <is>
          <t>רווח גולמי</t>
        </is>
      </c>
      <c r="B9" s="39">
        <f>B7+B8</f>
        <v/>
      </c>
      <c r="C9" s="39">
        <f>C7+C8</f>
        <v/>
      </c>
      <c r="D9" s="39">
        <f>D7+D8</f>
        <v/>
      </c>
      <c r="E9" s="39">
        <f>E7+E8</f>
        <v/>
      </c>
      <c r="F9" s="39">
        <f>F7+F8</f>
        <v/>
      </c>
      <c r="G9" s="39">
        <f>G7+G8</f>
        <v/>
      </c>
      <c r="H9" s="39">
        <f>H7+H8</f>
        <v/>
      </c>
      <c r="I9" s="39">
        <f>I7+I8</f>
        <v/>
      </c>
      <c r="J9" s="39">
        <f>J7+J8</f>
        <v/>
      </c>
      <c r="K9" s="39">
        <f>K7+K8</f>
        <v/>
      </c>
      <c r="L9" s="39">
        <f>L7+L8</f>
        <v/>
      </c>
      <c r="M9" s="39">
        <f>M7+M8</f>
        <v/>
      </c>
      <c r="N9" s="39">
        <f>SUM(B9:M9)</f>
        <v/>
      </c>
    </row>
    <row r="10" ht="20" customHeight="1">
      <c r="A10" s="14" t="inlineStr">
        <is>
          <t>בניכוי הוצאות תפעול</t>
        </is>
      </c>
      <c r="B10" s="38">
        <f>-'הוצאות'!B14</f>
        <v/>
      </c>
      <c r="C10" s="38">
        <f>-'הוצאות'!C14</f>
        <v/>
      </c>
      <c r="D10" s="38">
        <f>-'הוצאות'!D14</f>
        <v/>
      </c>
      <c r="E10" s="38">
        <f>-'הוצאות'!E14</f>
        <v/>
      </c>
      <c r="F10" s="38">
        <f>-'הוצאות'!F14</f>
        <v/>
      </c>
      <c r="G10" s="38">
        <f>-'הוצאות'!G14</f>
        <v/>
      </c>
      <c r="H10" s="38">
        <f>-'הוצאות'!H14</f>
        <v/>
      </c>
      <c r="I10" s="38">
        <f>-'הוצאות'!I14</f>
        <v/>
      </c>
      <c r="J10" s="38">
        <f>-'הוצאות'!J14</f>
        <v/>
      </c>
      <c r="K10" s="38">
        <f>-'הוצאות'!K14</f>
        <v/>
      </c>
      <c r="L10" s="38">
        <f>-'הוצאות'!L14</f>
        <v/>
      </c>
      <c r="M10" s="38">
        <f>-'הוצאות'!M14</f>
        <v/>
      </c>
      <c r="N10" s="38">
        <f>SUM(B10:M10)</f>
        <v/>
      </c>
    </row>
    <row r="11" ht="22" customHeight="1">
      <c r="A11" s="35" t="inlineStr">
        <is>
          <t>רווח תפעולי</t>
        </is>
      </c>
      <c r="B11" s="39">
        <f>B9+B10</f>
        <v/>
      </c>
      <c r="C11" s="39">
        <f>C9+C10</f>
        <v/>
      </c>
      <c r="D11" s="39">
        <f>D9+D10</f>
        <v/>
      </c>
      <c r="E11" s="39">
        <f>E9+E10</f>
        <v/>
      </c>
      <c r="F11" s="39">
        <f>F9+F10</f>
        <v/>
      </c>
      <c r="G11" s="39">
        <f>G9+G10</f>
        <v/>
      </c>
      <c r="H11" s="39">
        <f>H9+H10</f>
        <v/>
      </c>
      <c r="I11" s="39">
        <f>I9+I10</f>
        <v/>
      </c>
      <c r="J11" s="39">
        <f>J9+J10</f>
        <v/>
      </c>
      <c r="K11" s="39">
        <f>K9+K10</f>
        <v/>
      </c>
      <c r="L11" s="39">
        <f>L9+L10</f>
        <v/>
      </c>
      <c r="M11" s="39">
        <f>M9+M10</f>
        <v/>
      </c>
      <c r="N11" s="39">
        <f>SUM(B11:M11)</f>
        <v/>
      </c>
    </row>
    <row r="13" ht="24" customHeight="1">
      <c r="A13" s="3" t="inlineStr">
        <is>
          <t>שיעורי רווחיות</t>
        </is>
      </c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</row>
    <row r="14" ht="20" customHeight="1">
      <c r="A14" s="14" t="inlineStr">
        <is>
          <t>שיעור רווח גולמי</t>
        </is>
      </c>
      <c r="B14" s="40">
        <f>IFERROR(B9/B7,0)</f>
        <v/>
      </c>
      <c r="C14" s="40">
        <f>IFERROR(C9/C7,0)</f>
        <v/>
      </c>
      <c r="D14" s="40">
        <f>IFERROR(D9/D7,0)</f>
        <v/>
      </c>
      <c r="E14" s="40">
        <f>IFERROR(E9/E7,0)</f>
        <v/>
      </c>
      <c r="F14" s="40">
        <f>IFERROR(F9/F7,0)</f>
        <v/>
      </c>
      <c r="G14" s="40">
        <f>IFERROR(G9/G7,0)</f>
        <v/>
      </c>
      <c r="H14" s="40">
        <f>IFERROR(H9/H7,0)</f>
        <v/>
      </c>
      <c r="I14" s="40">
        <f>IFERROR(I9/I7,0)</f>
        <v/>
      </c>
      <c r="J14" s="40">
        <f>IFERROR(J9/J7,0)</f>
        <v/>
      </c>
      <c r="K14" s="40">
        <f>IFERROR(K9/K7,0)</f>
        <v/>
      </c>
      <c r="L14" s="40">
        <f>IFERROR(L9/L7,0)</f>
        <v/>
      </c>
      <c r="M14" s="40">
        <f>IFERROR(M9/M7,0)</f>
        <v/>
      </c>
      <c r="N14" s="40">
        <f>IFERROR(N9/N7,0)</f>
        <v/>
      </c>
    </row>
    <row r="15" ht="20" customHeight="1">
      <c r="A15" s="14" t="inlineStr">
        <is>
          <t>שיעור רווח תפעולי</t>
        </is>
      </c>
      <c r="B15" s="40">
        <f>IFERROR(B11/B7,0)</f>
        <v/>
      </c>
      <c r="C15" s="40">
        <f>IFERROR(C11/C7,0)</f>
        <v/>
      </c>
      <c r="D15" s="40">
        <f>IFERROR(D11/D7,0)</f>
        <v/>
      </c>
      <c r="E15" s="40">
        <f>IFERROR(E11/E7,0)</f>
        <v/>
      </c>
      <c r="F15" s="40">
        <f>IFERROR(F11/F7,0)</f>
        <v/>
      </c>
      <c r="G15" s="40">
        <f>IFERROR(G11/G7,0)</f>
        <v/>
      </c>
      <c r="H15" s="40">
        <f>IFERROR(H11/H7,0)</f>
        <v/>
      </c>
      <c r="I15" s="40">
        <f>IFERROR(I11/I7,0)</f>
        <v/>
      </c>
      <c r="J15" s="40">
        <f>IFERROR(J11/J7,0)</f>
        <v/>
      </c>
      <c r="K15" s="40">
        <f>IFERROR(K11/K7,0)</f>
        <v/>
      </c>
      <c r="L15" s="40">
        <f>IFERROR(L11/L7,0)</f>
        <v/>
      </c>
      <c r="M15" s="40">
        <f>IFERROR(M11/M7,0)</f>
        <v/>
      </c>
      <c r="N15" s="40">
        <f>IFERROR(N11/N7,0)</f>
        <v/>
      </c>
    </row>
  </sheetData>
  <conditionalFormatting sqref="B11:N11">
    <cfRule type="cellIs" priority="1" operator="lessThan" dxfId="4">
      <formula>0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6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18" customWidth="1" min="3" max="3"/>
    <col width="18" customWidth="1" min="4" max="4"/>
    <col width="18" customWidth="1" min="5" max="5"/>
    <col width="20" customWidth="1" min="6" max="6"/>
  </cols>
  <sheetData>
    <row r="1" ht="30" customHeight="1">
      <c r="A1" s="1" t="inlineStr">
        <is>
          <t>תזרים מזומנים — 2026</t>
        </is>
      </c>
    </row>
    <row r="2" ht="16" customHeight="1">
      <c r="A2" s="2" t="inlineStr">
        <is>
          <t>כמה מזומן נכנס ויצא בפועל בכל חודש, ומה נשאר בקופה.</t>
        </is>
      </c>
    </row>
    <row r="4" ht="32" customHeight="1">
      <c r="A4" s="13" t="inlineStr">
        <is>
          <t>חודש</t>
        </is>
      </c>
      <c r="B4" s="13" t="inlineStr">
        <is>
          <t>תאריך סוף חודש</t>
        </is>
      </c>
      <c r="C4" s="13" t="inlineStr">
        <is>
          <t>תקבולים</t>
        </is>
      </c>
      <c r="D4" s="13" t="inlineStr">
        <is>
          <t>תשלומים</t>
        </is>
      </c>
      <c r="E4" s="13" t="inlineStr">
        <is>
          <t>תזרים נטו</t>
        </is>
      </c>
      <c r="F4" s="13" t="inlineStr">
        <is>
          <t>יתרה בקופה</t>
        </is>
      </c>
    </row>
    <row r="5" ht="20" customHeight="1">
      <c r="A5" s="14" t="inlineStr">
        <is>
          <t>ינואר</t>
        </is>
      </c>
      <c r="B5" s="41" t="n">
        <v>46053</v>
      </c>
      <c r="C5" s="38">
        <f>'הכנסות'!B11</f>
        <v/>
      </c>
      <c r="D5" s="38">
        <f>-'הוצאות'!B14-'רווח והפסד'!B7*'הנחות ופרמטרים'!$B$6</f>
        <v/>
      </c>
      <c r="E5" s="38">
        <f>C5+D5</f>
        <v/>
      </c>
      <c r="F5" s="38">
        <f>'הנחות ופרמטרים'!$B$11+E5</f>
        <v/>
      </c>
    </row>
    <row r="6" ht="20" customHeight="1">
      <c r="A6" s="18" t="inlineStr">
        <is>
          <t>פברואר</t>
        </is>
      </c>
      <c r="B6" s="42" t="n">
        <v>46081</v>
      </c>
      <c r="C6" s="43">
        <f>'הכנסות'!C11</f>
        <v/>
      </c>
      <c r="D6" s="43">
        <f>-'הוצאות'!C14-'רווח והפסד'!C7*'הנחות ופרמטרים'!$B$6</f>
        <v/>
      </c>
      <c r="E6" s="43">
        <f>C6+D6</f>
        <v/>
      </c>
      <c r="F6" s="43">
        <f>F5+E6</f>
        <v/>
      </c>
    </row>
    <row r="7" ht="20" customHeight="1">
      <c r="A7" s="14" t="inlineStr">
        <is>
          <t>מרץ</t>
        </is>
      </c>
      <c r="B7" s="41" t="n">
        <v>46112</v>
      </c>
      <c r="C7" s="38">
        <f>'הכנסות'!D11</f>
        <v/>
      </c>
      <c r="D7" s="38">
        <f>-'הוצאות'!D14-'רווח והפסד'!D7*'הנחות ופרמטרים'!$B$6</f>
        <v/>
      </c>
      <c r="E7" s="38">
        <f>C7+D7</f>
        <v/>
      </c>
      <c r="F7" s="38">
        <f>F6+E7</f>
        <v/>
      </c>
    </row>
    <row r="8" ht="20" customHeight="1">
      <c r="A8" s="18" t="inlineStr">
        <is>
          <t>אפריל</t>
        </is>
      </c>
      <c r="B8" s="42" t="n">
        <v>46142</v>
      </c>
      <c r="C8" s="43">
        <f>'הכנסות'!E11</f>
        <v/>
      </c>
      <c r="D8" s="43">
        <f>-'הוצאות'!E14-'רווח והפסד'!E7*'הנחות ופרמטרים'!$B$6</f>
        <v/>
      </c>
      <c r="E8" s="43">
        <f>C8+D8</f>
        <v/>
      </c>
      <c r="F8" s="43">
        <f>F7+E8</f>
        <v/>
      </c>
    </row>
    <row r="9" ht="20" customHeight="1">
      <c r="A9" s="14" t="inlineStr">
        <is>
          <t>מאי</t>
        </is>
      </c>
      <c r="B9" s="41" t="n">
        <v>46173</v>
      </c>
      <c r="C9" s="38">
        <f>'הכנסות'!F11</f>
        <v/>
      </c>
      <c r="D9" s="38">
        <f>-'הוצאות'!F14-'רווח והפסד'!F7*'הנחות ופרמטרים'!$B$6</f>
        <v/>
      </c>
      <c r="E9" s="38">
        <f>C9+D9</f>
        <v/>
      </c>
      <c r="F9" s="38">
        <f>F8+E9</f>
        <v/>
      </c>
    </row>
    <row r="10" ht="20" customHeight="1">
      <c r="A10" s="18" t="inlineStr">
        <is>
          <t>יוני</t>
        </is>
      </c>
      <c r="B10" s="42" t="n">
        <v>46203</v>
      </c>
      <c r="C10" s="43">
        <f>'הכנסות'!G11</f>
        <v/>
      </c>
      <c r="D10" s="43">
        <f>-'הוצאות'!G14-'רווח והפסד'!G7*'הנחות ופרמטרים'!$B$6</f>
        <v/>
      </c>
      <c r="E10" s="43">
        <f>C10+D10</f>
        <v/>
      </c>
      <c r="F10" s="43">
        <f>F9+E10</f>
        <v/>
      </c>
    </row>
    <row r="11" ht="20" customHeight="1">
      <c r="A11" s="14" t="inlineStr">
        <is>
          <t>יולי</t>
        </is>
      </c>
      <c r="B11" s="41" t="n">
        <v>46234</v>
      </c>
      <c r="C11" s="38">
        <f>'הכנסות'!H11</f>
        <v/>
      </c>
      <c r="D11" s="38">
        <f>-'הוצאות'!H14-'רווח והפסד'!H7*'הנחות ופרמטרים'!$B$6</f>
        <v/>
      </c>
      <c r="E11" s="38">
        <f>C11+D11</f>
        <v/>
      </c>
      <c r="F11" s="38">
        <f>F10+E11</f>
        <v/>
      </c>
    </row>
    <row r="12" ht="20" customHeight="1">
      <c r="A12" s="18" t="inlineStr">
        <is>
          <t>אוגוסט</t>
        </is>
      </c>
      <c r="B12" s="42" t="n">
        <v>46265</v>
      </c>
      <c r="C12" s="43">
        <f>'הכנסות'!I11</f>
        <v/>
      </c>
      <c r="D12" s="43">
        <f>-'הוצאות'!I14-'רווח והפסד'!I7*'הנחות ופרמטרים'!$B$6</f>
        <v/>
      </c>
      <c r="E12" s="43">
        <f>C12+D12</f>
        <v/>
      </c>
      <c r="F12" s="43">
        <f>F11+E12</f>
        <v/>
      </c>
    </row>
    <row r="13" ht="20" customHeight="1">
      <c r="A13" s="14" t="inlineStr">
        <is>
          <t>ספטמבר</t>
        </is>
      </c>
      <c r="B13" s="41" t="n">
        <v>46295</v>
      </c>
      <c r="C13" s="38">
        <f>'הכנסות'!J11</f>
        <v/>
      </c>
      <c r="D13" s="38">
        <f>-'הוצאות'!J14-'רווח והפסד'!J7*'הנחות ופרמטרים'!$B$6</f>
        <v/>
      </c>
      <c r="E13" s="38">
        <f>C13+D13</f>
        <v/>
      </c>
      <c r="F13" s="38">
        <f>F12+E13</f>
        <v/>
      </c>
    </row>
    <row r="14" ht="20" customHeight="1">
      <c r="A14" s="18" t="inlineStr">
        <is>
          <t>אוקטובר</t>
        </is>
      </c>
      <c r="B14" s="42" t="n">
        <v>46326</v>
      </c>
      <c r="C14" s="43">
        <f>'הכנסות'!K11</f>
        <v/>
      </c>
      <c r="D14" s="43">
        <f>-'הוצאות'!K14-'רווח והפסד'!K7*'הנחות ופרמטרים'!$B$6</f>
        <v/>
      </c>
      <c r="E14" s="43">
        <f>C14+D14</f>
        <v/>
      </c>
      <c r="F14" s="43">
        <f>F13+E14</f>
        <v/>
      </c>
    </row>
    <row r="15" ht="20" customHeight="1">
      <c r="A15" s="14" t="inlineStr">
        <is>
          <t>נובמבר</t>
        </is>
      </c>
      <c r="B15" s="41" t="n">
        <v>46356</v>
      </c>
      <c r="C15" s="38">
        <f>'הכנסות'!L11</f>
        <v/>
      </c>
      <c r="D15" s="38">
        <f>-'הוצאות'!L14-'רווח והפסד'!L7*'הנחות ופרמטרים'!$B$6</f>
        <v/>
      </c>
      <c r="E15" s="38">
        <f>C15+D15</f>
        <v/>
      </c>
      <c r="F15" s="38">
        <f>F14+E15</f>
        <v/>
      </c>
    </row>
    <row r="16" ht="20" customHeight="1">
      <c r="A16" s="18" t="inlineStr">
        <is>
          <t>דצמבר</t>
        </is>
      </c>
      <c r="B16" s="42" t="n">
        <v>46387</v>
      </c>
      <c r="C16" s="43">
        <f>'הכנסות'!M11</f>
        <v/>
      </c>
      <c r="D16" s="43">
        <f>-'הוצאות'!M14-'רווח והפסד'!M7*'הנחות ופרמטרים'!$B$6</f>
        <v/>
      </c>
      <c r="E16" s="43">
        <f>C16+D16</f>
        <v/>
      </c>
      <c r="F16" s="43">
        <f>F15+E16</f>
        <v/>
      </c>
    </row>
  </sheetData>
  <conditionalFormatting sqref="F5:F16">
    <cfRule type="cellIs" priority="1" operator="lessThan" dxfId="4">
      <formula>0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2026-07-28T18:45:28Z</dcterms:created>
  <dcterms:modified xmlns:dcterms="http://purl.org/dc/terms/" xmlns:xsi="http://www.w3.org/2001/XMLSchema-instance" xsi:type="dcterms:W3CDTF">2026-07-28T18:45:28Z</dcterms:modified>
</cp:coreProperties>
</file>