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לוח בקרה" sheetId="1" state="visible" r:id="rId1"/>
    <sheet xmlns:r="http://schemas.openxmlformats.org/officeDocument/2006/relationships" name="הנחות ופרמטרים" sheetId="2" state="visible" r:id="rId2"/>
    <sheet xmlns:r="http://schemas.openxmlformats.org/officeDocument/2006/relationships" name="הכנסות" sheetId="3" state="visible" r:id="rId3"/>
    <sheet xmlns:r="http://schemas.openxmlformats.org/officeDocument/2006/relationships" name="הוצאות" sheetId="4" state="visible" r:id="rId4"/>
    <sheet xmlns:r="http://schemas.openxmlformats.org/officeDocument/2006/relationships" name="רווח והפסד" sheetId="5" state="visible" r:id="rId5"/>
    <sheet xmlns:r="http://schemas.openxmlformats.org/officeDocument/2006/relationships" name="מלאי" sheetId="6" state="visible" r:id="rId6"/>
    <sheet xmlns:r="http://schemas.openxmlformats.org/officeDocument/2006/relationships" name="תזרים מזומנים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#,##0\ [$₪-40D]"/>
    <numFmt numFmtId="166" formatCode="#,##0.00\ [$₪-40D];[Red]\(#,##0.00\ [$₪-40D]\)"/>
    <numFmt numFmtId="167" formatCode="#,##0.00\ [$₪-40D]"/>
    <numFmt numFmtId="168" formatCode="yyyy-mm-dd"/>
    <numFmt numFmtId="169" formatCode="DD/MM/YYYY"/>
  </numFmts>
  <fonts count="12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sz val="11"/>
    </font>
    <font>
      <name val="Arial"/>
      <color rgb="000000CC"/>
      <sz val="11"/>
    </font>
    <font>
      <name val="Arial"/>
      <b val="1"/>
      <sz val="11"/>
    </font>
    <font>
      <name val="Arial"/>
      <color rgb="00008000"/>
      <sz val="11"/>
    </font>
    <font>
      <name val="Arial"/>
      <i val="1"/>
      <sz val="11"/>
    </font>
    <font>
      <name val="Arial"/>
      <b val="1"/>
      <i val="1"/>
      <sz val="11"/>
    </font>
    <font>
      <name val="Arial"/>
      <b val="1"/>
      <color rgb="001F3864"/>
      <sz val="12"/>
    </font>
    <font>
      <name val="Arial"/>
      <b val="1"/>
      <color rgb="00C00000"/>
      <sz val="12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00000"/>
      </patternFill>
    </fill>
    <fill>
      <patternFill patternType="solid">
        <fgColor rgb="00D9E2F3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centerContinuous" vertical="center" readingOrder="2"/>
    </xf>
    <xf numFmtId="0" fontId="0" fillId="0" borderId="0" applyAlignment="1" pivotButton="0" quotePrefix="0" xfId="0">
      <alignment horizontal="centerContinuous" vertical="center" readingOrder="2"/>
    </xf>
    <xf numFmtId="0" fontId="2" fillId="0" borderId="0" applyAlignment="1" pivotButton="0" quotePrefix="0" xfId="0">
      <alignment horizontal="right" vertical="center" readingOrder="2"/>
    </xf>
    <xf numFmtId="0" fontId="3" fillId="2" borderId="1" applyAlignment="1" pivotButton="0" quotePrefix="0" xfId="0">
      <alignment horizontal="center" vertical="center" wrapText="1" readingOrder="2"/>
    </xf>
    <xf numFmtId="0" fontId="6" fillId="0" borderId="1" applyAlignment="1" pivotButton="0" quotePrefix="0" xfId="0">
      <alignment horizontal="right" vertical="center" readingOrder="2"/>
    </xf>
    <xf numFmtId="165" fontId="10" fillId="5" borderId="1" applyAlignment="1" pivotButton="0" quotePrefix="0" xfId="0">
      <alignment horizontal="right" vertical="center" readingOrder="2"/>
    </xf>
    <xf numFmtId="164" fontId="10" fillId="5" borderId="1" applyAlignment="1" pivotButton="0" quotePrefix="0" xfId="0">
      <alignment horizontal="right" vertical="center" readingOrder="2"/>
    </xf>
    <xf numFmtId="0" fontId="4" fillId="0" borderId="1" applyAlignment="1" pivotButton="0" quotePrefix="0" xfId="0">
      <alignment horizontal="right" vertical="center" readingOrder="2"/>
    </xf>
    <xf numFmtId="164" fontId="5" fillId="0" borderId="1" applyAlignment="1" pivotButton="0" quotePrefix="0" xfId="0">
      <alignment horizontal="right" vertical="center" readingOrder="2"/>
    </xf>
    <xf numFmtId="3" fontId="5" fillId="0" borderId="1" applyAlignment="1" pivotButton="0" quotePrefix="0" xfId="0">
      <alignment horizontal="right" vertical="center" readingOrder="2"/>
    </xf>
    <xf numFmtId="165" fontId="5" fillId="0" borderId="1" applyAlignment="1" pivotButton="0" quotePrefix="0" xfId="0">
      <alignment horizontal="right" vertical="center" readingOrder="2"/>
    </xf>
    <xf numFmtId="165" fontId="4" fillId="0" borderId="1" applyAlignment="1" pivotButton="0" quotePrefix="0" xfId="0">
      <alignment horizontal="right" vertical="center" readingOrder="2"/>
    </xf>
    <xf numFmtId="165" fontId="6" fillId="0" borderId="1" applyAlignment="1" pivotButton="0" quotePrefix="0" xfId="0">
      <alignment horizontal="right" vertical="center" readingOrder="2"/>
    </xf>
    <xf numFmtId="0" fontId="3" fillId="2" borderId="1" applyAlignment="1" pivotButton="0" quotePrefix="0" xfId="0">
      <alignment horizontal="right" vertical="center" readingOrder="2"/>
    </xf>
    <xf numFmtId="165" fontId="3" fillId="2" borderId="1" applyAlignment="1" pivotButton="0" quotePrefix="0" xfId="0">
      <alignment horizontal="right" vertical="center" readingOrder="2"/>
    </xf>
    <xf numFmtId="0" fontId="0" fillId="0" borderId="0" applyAlignment="1" pivotButton="0" quotePrefix="0" xfId="0">
      <alignment horizontal="right" vertical="center" readingOrder="2"/>
    </xf>
    <xf numFmtId="165" fontId="7" fillId="0" borderId="0" applyAlignment="1" pivotButton="0" quotePrefix="0" xfId="0">
      <alignment horizontal="right" vertical="center" readingOrder="2"/>
    </xf>
    <xf numFmtId="0" fontId="3" fillId="3" borderId="1" applyAlignment="1" pivotButton="0" quotePrefix="0" xfId="0">
      <alignment horizontal="right" vertical="center" readingOrder="2"/>
    </xf>
    <xf numFmtId="165" fontId="3" fillId="3" borderId="1" applyAlignment="1" pivotButton="0" quotePrefix="0" xfId="0">
      <alignment horizontal="right" vertical="center" readingOrder="2"/>
    </xf>
    <xf numFmtId="166" fontId="4" fillId="0" borderId="1" applyAlignment="1" pivotButton="0" quotePrefix="0" xfId="0">
      <alignment horizontal="right" vertical="center" readingOrder="2"/>
    </xf>
    <xf numFmtId="166" fontId="6" fillId="0" borderId="1" applyAlignment="1" pivotButton="0" quotePrefix="0" xfId="0">
      <alignment horizontal="right" vertical="center" readingOrder="2"/>
    </xf>
    <xf numFmtId="166" fontId="6" fillId="4" borderId="1" applyAlignment="1" pivotButton="0" quotePrefix="0" xfId="0">
      <alignment horizontal="right" vertical="center" readingOrder="2"/>
    </xf>
    <xf numFmtId="0" fontId="8" fillId="0" borderId="0" applyAlignment="1" pivotButton="0" quotePrefix="0" xfId="0">
      <alignment horizontal="right" vertical="center" readingOrder="2"/>
    </xf>
    <xf numFmtId="164" fontId="8" fillId="0" borderId="0" applyAlignment="1" pivotButton="0" quotePrefix="0" xfId="0">
      <alignment horizontal="right" vertical="center" readingOrder="2"/>
    </xf>
    <xf numFmtId="164" fontId="9" fillId="0" borderId="0" applyAlignment="1" pivotButton="0" quotePrefix="0" xfId="0">
      <alignment horizontal="right" vertical="center" readingOrder="2"/>
    </xf>
    <xf numFmtId="3" fontId="4" fillId="0" borderId="1" applyAlignment="1" pivotButton="0" quotePrefix="0" xfId="0">
      <alignment horizontal="right" vertical="center" readingOrder="2"/>
    </xf>
    <xf numFmtId="167" fontId="5" fillId="0" borderId="1" applyAlignment="1" pivotButton="0" quotePrefix="0" xfId="0">
      <alignment horizontal="right" vertical="center" readingOrder="2"/>
    </xf>
    <xf numFmtId="167" fontId="4" fillId="0" borderId="1" applyAlignment="1" pivotButton="0" quotePrefix="0" xfId="0">
      <alignment horizontal="right" vertical="center" readingOrder="2"/>
    </xf>
    <xf numFmtId="0" fontId="6" fillId="0" borderId="0" applyAlignment="1" pivotButton="0" quotePrefix="0" xfId="0">
      <alignment horizontal="right" vertical="center" readingOrder="2"/>
    </xf>
    <xf numFmtId="167" fontId="10" fillId="0" borderId="0" applyAlignment="1" pivotButton="0" quotePrefix="0" xfId="0">
      <alignment horizontal="right" vertical="center" readingOrder="2"/>
    </xf>
    <xf numFmtId="3" fontId="11" fillId="0" borderId="0" applyAlignment="1" pivotButton="0" quotePrefix="0" xfId="0">
      <alignment horizontal="right" vertical="center" readingOrder="2"/>
    </xf>
    <xf numFmtId="0" fontId="4" fillId="0" borderId="0" applyAlignment="1" pivotButton="0" quotePrefix="0" xfId="0">
      <alignment horizontal="right" vertical="center" readingOrder="2"/>
    </xf>
    <xf numFmtId="169" fontId="0" fillId="0" borderId="0" applyAlignment="1" pivotButton="0" quotePrefix="0" xfId="0">
      <alignment horizontal="right" vertical="center" readingOrder="2"/>
    </xf>
    <xf numFmtId="166" fontId="7" fillId="0" borderId="1" applyAlignment="1" pivotButton="0" quotePrefix="0" xfId="0">
      <alignment horizontal="right" vertical="center" readingOrder="2"/>
    </xf>
  </cellXfs>
  <cellStyles count="1">
    <cellStyle name="Normal" xfId="0" builtinId="0" hidden="0"/>
  </cellStyles>
  <dxfs count="2">
    <dxf>
      <font>
        <b val="1"/>
        <color rgb="00C00000"/>
      </font>
      <fill>
        <patternFill patternType="solid">
          <fgColor rgb="00FFC7CE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הכנסות לפי ערוץ — סה״כ שנתי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'הכנסות'!N3</f>
            </strRef>
          </tx>
          <spPr>
            <a:ln xmlns:a="http://schemas.openxmlformats.org/drawingml/2006/main">
              <a:prstDash val="solid"/>
            </a:ln>
          </spPr>
          <cat>
            <numRef>
              <f>'הכנסות'!$A$4:$A$8</f>
            </numRef>
          </cat>
          <val>
            <numRef>
              <f>'הכנסות'!$N$4:$N$8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₪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רווח תפעולי חודשי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'רווח והפסד'!$B$3:$M$3</f>
            </numRef>
          </cat>
          <val>
            <numRef>
              <f>'רווח והפסד'!$B$10:$M$10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21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הנחות" displayName="הנחות" ref="A4:D12" headerRowCount="1">
  <autoFilter ref="A4:D12"/>
  <tableColumns count="4">
    <tableColumn id="1" name="פרמטר"/>
    <tableColumn id="2" name="ערך"/>
    <tableColumn id="3" name="יחידה"/>
    <tableColumn id="4" name="הערה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טבלת_מלאי" displayName="טבלת_מלאי" ref="A3:K15" headerRowCount="1">
  <autoFilter ref="A3:K15"/>
  <tableColumns count="11">
    <tableColumn id="1" name="מק״ט"/>
    <tableColumn id="2" name="תיאור פריט"/>
    <tableColumn id="3" name="קטגוריה"/>
    <tableColumn id="4" name="מידה"/>
    <tableColumn id="5" name="צבע"/>
    <tableColumn id="6" name="מלאי נוכחי"/>
    <tableColumn id="7" name="צריכה חודשית"/>
    <tableColumn id="8" name="מלאי בטחון"/>
    <tableColumn id="9" name="נקודת הזמנה"/>
    <tableColumn id="10" name="עלות ליחידה"/>
    <tableColumn id="11" name="שווי מלאי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טבלת_תזרים" displayName="טבלת_תזרים" ref="A3:F15" headerRowCount="1">
  <autoFilter ref="A3:F15"/>
  <tableColumns count="6">
    <tableColumn id="1" name="חודש"/>
    <tableColumn id="2" name="תאריך סוף חודש"/>
    <tableColumn id="3" name="תקבולים"/>
    <tableColumn id="4" name="תשלומים"/>
    <tableColumn id="5" name="תזרים נטו"/>
    <tableColumn id="6" name="יתרת מזומן מצטברת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rightToLeft="1"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אופנת גלים בע״מ — לוח בקרה 2026</t>
        </is>
      </c>
      <c r="B1" s="2" t="n"/>
      <c r="C1" s="2" t="n"/>
      <c r="D1" s="2" t="n"/>
      <c r="E1" s="2" t="n"/>
      <c r="F1" s="2" t="n"/>
    </row>
    <row r="2">
      <c r="A2" s="3" t="inlineStr">
        <is>
          <t>נתוני דמה. ינואר–יוני בפועל, יולי–דצמבר תחזית.</t>
        </is>
      </c>
    </row>
    <row r="3"/>
    <row r="4">
      <c r="A4" s="4" t="inlineStr">
        <is>
          <t>מדד</t>
        </is>
      </c>
      <c r="B4" s="4" t="inlineStr">
        <is>
          <t>ערך</t>
        </is>
      </c>
    </row>
    <row r="5">
      <c r="A5" s="5" t="inlineStr">
        <is>
          <t>הכנסות ברוטו</t>
        </is>
      </c>
      <c r="B5" s="6">
        <f>'רווח והפסד'!N4</f>
        <v/>
      </c>
    </row>
    <row r="6">
      <c r="A6" s="5" t="inlineStr">
        <is>
          <t>רווח גולמי</t>
        </is>
      </c>
      <c r="B6" s="6">
        <f>'רווח והפסד'!N8</f>
        <v/>
      </c>
    </row>
    <row r="7">
      <c r="A7" s="5" t="inlineStr">
        <is>
          <t>רווח תפעולי</t>
        </is>
      </c>
      <c r="B7" s="6">
        <f>'רווח והפסד'!N10</f>
        <v/>
      </c>
    </row>
    <row r="8">
      <c r="A8" s="5" t="inlineStr">
        <is>
          <t>שיעור רווח גולמי</t>
        </is>
      </c>
      <c r="B8" s="7">
        <f>'רווח והפסד'!N12</f>
        <v/>
      </c>
    </row>
    <row r="9">
      <c r="A9" s="5" t="inlineStr">
        <is>
          <t>שווי מלאי</t>
        </is>
      </c>
      <c r="B9" s="6">
        <f>'מלאי'!K17</f>
        <v/>
      </c>
    </row>
    <row r="10">
      <c r="A10" s="5" t="inlineStr">
        <is>
          <t>יתרת מזומן בסוף שנה</t>
        </is>
      </c>
      <c r="B10" s="6">
        <f>'תזרים מזומנים'!F15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28" customWidth="1" min="4" max="4"/>
  </cols>
  <sheetData>
    <row r="1">
      <c r="A1" s="1" t="inlineStr">
        <is>
          <t>אופנת גלים בע״מ — הנחות ופרמטרים</t>
        </is>
      </c>
      <c r="B1" s="2" t="n"/>
      <c r="C1" s="2" t="n"/>
      <c r="D1" s="2" t="n"/>
    </row>
    <row r="2">
      <c r="A2" s="3" t="inlineStr">
        <is>
          <t>כל המספרים בגיליון הזה הם קלט. שאר הגיליונות מחושבים מהם בנוסחאות.</t>
        </is>
      </c>
    </row>
    <row r="3"/>
    <row r="4">
      <c r="A4" s="4" t="inlineStr">
        <is>
          <t>פרמטר</t>
        </is>
      </c>
      <c r="B4" s="4" t="inlineStr">
        <is>
          <t>ערך</t>
        </is>
      </c>
      <c r="C4" s="4" t="inlineStr">
        <is>
          <t>יחידה</t>
        </is>
      </c>
      <c r="D4" s="4" t="inlineStr">
        <is>
          <t>הערה</t>
        </is>
      </c>
    </row>
    <row r="5">
      <c r="A5" s="8" t="inlineStr">
        <is>
          <t>שיעור מע״מ</t>
        </is>
      </c>
      <c r="B5" s="9" t="n">
        <v>0.18</v>
      </c>
      <c r="C5" s="8" t="inlineStr">
        <is>
          <t>אחוז</t>
        </is>
      </c>
      <c r="D5" s="8" t="inlineStr">
        <is>
          <t>18% מ־1 בינואר 2025</t>
        </is>
      </c>
    </row>
    <row r="6">
      <c r="A6" s="8" t="inlineStr">
        <is>
          <t>שיעור עלות המכר</t>
        </is>
      </c>
      <c r="B6" s="9" t="n">
        <v>0.42</v>
      </c>
      <c r="C6" s="8" t="inlineStr">
        <is>
          <t>אחוז</t>
        </is>
      </c>
      <c r="D6" s="8" t="inlineStr">
        <is>
          <t>אחוז מההכנסה ברוטו</t>
        </is>
      </c>
    </row>
    <row r="7">
      <c r="A7" s="8" t="inlineStr">
        <is>
          <t>צמיחה חודשית בתחזית</t>
        </is>
      </c>
      <c r="B7" s="9" t="n">
        <v>0.035</v>
      </c>
      <c r="C7" s="8" t="inlineStr">
        <is>
          <t>אחוז</t>
        </is>
      </c>
      <c r="D7" s="8" t="inlineStr">
        <is>
          <t>יולי–דצמבר</t>
        </is>
      </c>
    </row>
    <row r="8">
      <c r="A8" s="8" t="inlineStr">
        <is>
          <t>ימי אשראי לקוחות</t>
        </is>
      </c>
      <c r="B8" s="10" t="n">
        <v>45</v>
      </c>
      <c r="C8" s="8" t="inlineStr">
        <is>
          <t>ימים</t>
        </is>
      </c>
      <c r="D8" s="8" t="inlineStr">
        <is>
          <t>ממוצע גבייה</t>
        </is>
      </c>
    </row>
    <row r="9">
      <c r="A9" s="8" t="inlineStr">
        <is>
          <t>ימי אשראי ספקים</t>
        </is>
      </c>
      <c r="B9" s="10" t="n">
        <v>60</v>
      </c>
      <c r="C9" s="8" t="inlineStr">
        <is>
          <t>ימים</t>
        </is>
      </c>
      <c r="D9" s="8" t="inlineStr">
        <is>
          <t>ממוצע תשלום</t>
        </is>
      </c>
    </row>
    <row r="10">
      <c r="A10" s="8" t="inlineStr">
        <is>
          <t>מלאי בטחון</t>
        </is>
      </c>
      <c r="B10" s="9" t="n">
        <v>0.2</v>
      </c>
      <c r="C10" s="8" t="inlineStr">
        <is>
          <t>אחוז</t>
        </is>
      </c>
      <c r="D10" s="8" t="inlineStr">
        <is>
          <t>מהצריכה החודשית</t>
        </is>
      </c>
    </row>
    <row r="11">
      <c r="A11" s="8" t="inlineStr">
        <is>
          <t>זמן אספקה מספק</t>
        </is>
      </c>
      <c r="B11" s="10" t="n">
        <v>21</v>
      </c>
      <c r="C11" s="8" t="inlineStr">
        <is>
          <t>ימים</t>
        </is>
      </c>
      <c r="D11" s="8" t="inlineStr">
        <is>
          <t>ממוצע משוקלל</t>
        </is>
      </c>
    </row>
    <row r="12">
      <c r="A12" s="8" t="inlineStr">
        <is>
          <t>שיעור החזרות</t>
        </is>
      </c>
      <c r="B12" s="9" t="n">
        <v>0.065</v>
      </c>
      <c r="C12" s="8" t="inlineStr">
        <is>
          <t>אחוז</t>
        </is>
      </c>
      <c r="D12" s="8" t="inlineStr">
        <is>
          <t>מהמכירות באתר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41" customWidth="1" min="8" max="8"/>
    <col width="41" customWidth="1" min="9" max="9"/>
    <col width="41" customWidth="1" min="10" max="10"/>
    <col width="41" customWidth="1" min="11" max="11"/>
    <col width="41" customWidth="1" min="12" max="12"/>
    <col width="41" customWidth="1" min="13" max="13"/>
    <col width="50" customWidth="1" min="14" max="14"/>
    <col width="13" customWidth="1" min="15" max="15"/>
  </cols>
  <sheetData>
    <row r="1">
      <c r="A1" s="1" t="inlineStr">
        <is>
          <t>הכנסות לפי ערוץ מכירה —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/>
    <row r="3">
      <c r="A3" s="4" t="inlineStr">
        <is>
          <t>ערוץ מכירה</t>
        </is>
      </c>
      <c r="B3" s="4" t="inlineStr">
        <is>
          <t>ינואר</t>
        </is>
      </c>
      <c r="C3" s="4" t="inlineStr">
        <is>
          <t>פברואר</t>
        </is>
      </c>
      <c r="D3" s="4" t="inlineStr">
        <is>
          <t>מרץ</t>
        </is>
      </c>
      <c r="E3" s="4" t="inlineStr">
        <is>
          <t>אפריל</t>
        </is>
      </c>
      <c r="F3" s="4" t="inlineStr">
        <is>
          <t>מאי</t>
        </is>
      </c>
      <c r="G3" s="4" t="inlineStr">
        <is>
          <t>יוני</t>
        </is>
      </c>
      <c r="H3" s="4" t="inlineStr">
        <is>
          <t>יולי</t>
        </is>
      </c>
      <c r="I3" s="4" t="inlineStr">
        <is>
          <t>אוגוסט</t>
        </is>
      </c>
      <c r="J3" s="4" t="inlineStr">
        <is>
          <t>ספטמבר</t>
        </is>
      </c>
      <c r="K3" s="4" t="inlineStr">
        <is>
          <t>אוקטובר</t>
        </is>
      </c>
      <c r="L3" s="4" t="inlineStr">
        <is>
          <t>נובמבר</t>
        </is>
      </c>
      <c r="M3" s="4" t="inlineStr">
        <is>
          <t>דצמבר</t>
        </is>
      </c>
      <c r="N3" s="4" t="inlineStr">
        <is>
          <t>סה״כ שנתי</t>
        </is>
      </c>
    </row>
    <row r="4">
      <c r="A4" s="8" t="inlineStr">
        <is>
          <t>חנות רחוב — חיפה</t>
        </is>
      </c>
      <c r="B4" s="11" t="n">
        <v>142000</v>
      </c>
      <c r="C4" s="11" t="n">
        <v>125000</v>
      </c>
      <c r="D4" s="11" t="n">
        <v>149100</v>
      </c>
      <c r="E4" s="11" t="n">
        <v>137700</v>
      </c>
      <c r="F4" s="11" t="n">
        <v>159000</v>
      </c>
      <c r="G4" s="11" t="n">
        <v>171800</v>
      </c>
      <c r="H4" s="12">
        <f>G4*(1+'הנחות ופרמטרים'!$B$7)</f>
        <v/>
      </c>
      <c r="I4" s="12">
        <f>H4*(1+'הנחות ופרמטרים'!$B$7)</f>
        <v/>
      </c>
      <c r="J4" s="12">
        <f>I4*(1+'הנחות ופרמטרים'!$B$7)</f>
        <v/>
      </c>
      <c r="K4" s="12">
        <f>J4*(1+'הנחות ופרמטרים'!$B$7)</f>
        <v/>
      </c>
      <c r="L4" s="12">
        <f>K4*(1+'הנחות ופרמטרים'!$B$7)</f>
        <v/>
      </c>
      <c r="M4" s="12">
        <f>L4*(1+'הנחות ופרמטרים'!$B$7)</f>
        <v/>
      </c>
      <c r="N4" s="13">
        <f>SUM(B4:M4)</f>
        <v/>
      </c>
    </row>
    <row r="5">
      <c r="A5" s="8" t="inlineStr">
        <is>
          <t>חנות קניון — קריון</t>
        </is>
      </c>
      <c r="B5" s="11" t="n">
        <v>198500</v>
      </c>
      <c r="C5" s="11" t="n">
        <v>174700</v>
      </c>
      <c r="D5" s="11" t="n">
        <v>208400</v>
      </c>
      <c r="E5" s="11" t="n">
        <v>192500</v>
      </c>
      <c r="F5" s="11" t="n">
        <v>222300</v>
      </c>
      <c r="G5" s="11" t="n">
        <v>240200</v>
      </c>
      <c r="H5" s="12">
        <f>G5*(1+'הנחות ופרמטרים'!$B$7)</f>
        <v/>
      </c>
      <c r="I5" s="12">
        <f>H5*(1+'הנחות ופרמטרים'!$B$7)</f>
        <v/>
      </c>
      <c r="J5" s="12">
        <f>I5*(1+'הנחות ופרמטרים'!$B$7)</f>
        <v/>
      </c>
      <c r="K5" s="12">
        <f>J5*(1+'הנחות ופרמטרים'!$B$7)</f>
        <v/>
      </c>
      <c r="L5" s="12">
        <f>K5*(1+'הנחות ופרמטרים'!$B$7)</f>
        <v/>
      </c>
      <c r="M5" s="12">
        <f>L5*(1+'הנחות ופרמטרים'!$B$7)</f>
        <v/>
      </c>
      <c r="N5" s="13">
        <f>SUM(B5:M5)</f>
        <v/>
      </c>
    </row>
    <row r="6">
      <c r="A6" s="8" t="inlineStr">
        <is>
          <t>אתר אינטרנט</t>
        </is>
      </c>
      <c r="B6" s="11" t="n">
        <v>126400</v>
      </c>
      <c r="C6" s="11" t="n">
        <v>111200</v>
      </c>
      <c r="D6" s="11" t="n">
        <v>132700</v>
      </c>
      <c r="E6" s="11" t="n">
        <v>122600</v>
      </c>
      <c r="F6" s="11" t="n">
        <v>141600</v>
      </c>
      <c r="G6" s="11" t="n">
        <v>152900</v>
      </c>
      <c r="H6" s="12">
        <f>G6*(1+'הנחות ופרמטרים'!$B$7)</f>
        <v/>
      </c>
      <c r="I6" s="12">
        <f>H6*(1+'הנחות ופרמטרים'!$B$7)</f>
        <v/>
      </c>
      <c r="J6" s="12">
        <f>I6*(1+'הנחות ופרמטרים'!$B$7)</f>
        <v/>
      </c>
      <c r="K6" s="12">
        <f>J6*(1+'הנחות ופרמטרים'!$B$7)</f>
        <v/>
      </c>
      <c r="L6" s="12">
        <f>K6*(1+'הנחות ופרמטרים'!$B$7)</f>
        <v/>
      </c>
      <c r="M6" s="12">
        <f>L6*(1+'הנחות ופרמטרים'!$B$7)</f>
        <v/>
      </c>
      <c r="N6" s="13">
        <f>SUM(B6:M6)</f>
        <v/>
      </c>
    </row>
    <row r="7">
      <c r="A7" s="8" t="inlineStr">
        <is>
          <t>מרקטפלייס</t>
        </is>
      </c>
      <c r="B7" s="11" t="n">
        <v>74800</v>
      </c>
      <c r="C7" s="11" t="n">
        <v>65800</v>
      </c>
      <c r="D7" s="11" t="n">
        <v>78500</v>
      </c>
      <c r="E7" s="11" t="n">
        <v>72600</v>
      </c>
      <c r="F7" s="11" t="n">
        <v>83800</v>
      </c>
      <c r="G7" s="11" t="n">
        <v>90500</v>
      </c>
      <c r="H7" s="12">
        <f>G7*(1+'הנחות ופרמטרים'!$B$7)</f>
        <v/>
      </c>
      <c r="I7" s="12">
        <f>H7*(1+'הנחות ופרמטרים'!$B$7)</f>
        <v/>
      </c>
      <c r="J7" s="12">
        <f>I7*(1+'הנחות ופרמטרים'!$B$7)</f>
        <v/>
      </c>
      <c r="K7" s="12">
        <f>J7*(1+'הנחות ופרמטרים'!$B$7)</f>
        <v/>
      </c>
      <c r="L7" s="12">
        <f>K7*(1+'הנחות ופרמטרים'!$B$7)</f>
        <v/>
      </c>
      <c r="M7" s="12">
        <f>L7*(1+'הנחות ופרמטרים'!$B$7)</f>
        <v/>
      </c>
      <c r="N7" s="13">
        <f>SUM(B7:M7)</f>
        <v/>
      </c>
    </row>
    <row r="8">
      <c r="A8" s="8" t="inlineStr">
        <is>
          <t>מכירה סיטונאית</t>
        </is>
      </c>
      <c r="B8" s="11" t="n">
        <v>95200</v>
      </c>
      <c r="C8" s="11" t="n">
        <v>83800</v>
      </c>
      <c r="D8" s="11" t="n">
        <v>100000</v>
      </c>
      <c r="E8" s="11" t="n">
        <v>92300</v>
      </c>
      <c r="F8" s="11" t="n">
        <v>106600</v>
      </c>
      <c r="G8" s="11" t="n">
        <v>115200</v>
      </c>
      <c r="H8" s="12">
        <f>G8*(1+'הנחות ופרמטרים'!$B$7)</f>
        <v/>
      </c>
      <c r="I8" s="12">
        <f>H8*(1+'הנחות ופרמטרים'!$B$7)</f>
        <v/>
      </c>
      <c r="J8" s="12">
        <f>I8*(1+'הנחות ופרמטרים'!$B$7)</f>
        <v/>
      </c>
      <c r="K8" s="12">
        <f>J8*(1+'הנחות ופרמטרים'!$B$7)</f>
        <v/>
      </c>
      <c r="L8" s="12">
        <f>K8*(1+'הנחות ופרמטרים'!$B$7)</f>
        <v/>
      </c>
      <c r="M8" s="12">
        <f>L8*(1+'הנחות ופרמטרים'!$B$7)</f>
        <v/>
      </c>
      <c r="N8" s="13">
        <f>SUM(B8:M8)</f>
        <v/>
      </c>
    </row>
    <row r="9">
      <c r="A9" s="14" t="inlineStr">
        <is>
          <t>סה״כ הכנסות</t>
        </is>
      </c>
      <c r="B9" s="15">
        <f>SUM(B4:B8)</f>
        <v/>
      </c>
      <c r="C9" s="15">
        <f>SUM(C4:C8)</f>
        <v/>
      </c>
      <c r="D9" s="15">
        <f>SUM(D4:D8)</f>
        <v/>
      </c>
      <c r="E9" s="15">
        <f>SUM(E4:E8)</f>
        <v/>
      </c>
      <c r="F9" s="15">
        <f>SUM(F4:F8)</f>
        <v/>
      </c>
      <c r="G9" s="15">
        <f>SUM(G4:G8)</f>
        <v/>
      </c>
      <c r="H9" s="15">
        <f>SUM(H4:H8)</f>
        <v/>
      </c>
      <c r="I9" s="15">
        <f>SUM(I4:I8)</f>
        <v/>
      </c>
      <c r="J9" s="15">
        <f>SUM(J4:J8)</f>
        <v/>
      </c>
      <c r="K9" s="15">
        <f>SUM(K4:K8)</f>
        <v/>
      </c>
      <c r="L9" s="15">
        <f>SUM(L4:L8)</f>
        <v/>
      </c>
      <c r="M9" s="15">
        <f>SUM(M4:M8)</f>
        <v/>
      </c>
      <c r="N9" s="15">
        <f>SUM(N4:N8)</f>
        <v/>
      </c>
    </row>
    <row r="10"/>
    <row r="11">
      <c r="A11" s="16" t="inlineStr">
        <is>
          <t>מזה מע״מ</t>
        </is>
      </c>
      <c r="N11" s="17">
        <f>N9*'הנחות ופרמטרים'!$B$5/(1+'הנחות ופרמטרים'!$B$5)</f>
        <v/>
      </c>
    </row>
  </sheetData>
  <conditionalFormatting sqref="B4:M8">
    <cfRule type="colorScale" priority="1">
      <colorScale>
        <cfvo type="min"/>
        <cfvo type="max"/>
        <color rgb="00FFF5F5"/>
        <color rgb="009CC3E5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20" customWidth="1" min="14" max="14"/>
    <col width="13" customWidth="1" min="15" max="15"/>
  </cols>
  <sheetData>
    <row r="1">
      <c r="A1" s="1" t="inlineStr">
        <is>
          <t>הוצאות תפעוליות —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/>
    <row r="3">
      <c r="A3" s="4" t="inlineStr">
        <is>
          <t>סעיף הוצאה</t>
        </is>
      </c>
      <c r="B3" s="4" t="inlineStr">
        <is>
          <t>ינואר</t>
        </is>
      </c>
      <c r="C3" s="4" t="inlineStr">
        <is>
          <t>פברואר</t>
        </is>
      </c>
      <c r="D3" s="4" t="inlineStr">
        <is>
          <t>מרץ</t>
        </is>
      </c>
      <c r="E3" s="4" t="inlineStr">
        <is>
          <t>אפריל</t>
        </is>
      </c>
      <c r="F3" s="4" t="inlineStr">
        <is>
          <t>מאי</t>
        </is>
      </c>
      <c r="G3" s="4" t="inlineStr">
        <is>
          <t>יוני</t>
        </is>
      </c>
      <c r="H3" s="4" t="inlineStr">
        <is>
          <t>יולי</t>
        </is>
      </c>
      <c r="I3" s="4" t="inlineStr">
        <is>
          <t>אוגוסט</t>
        </is>
      </c>
      <c r="J3" s="4" t="inlineStr">
        <is>
          <t>ספטמבר</t>
        </is>
      </c>
      <c r="K3" s="4" t="inlineStr">
        <is>
          <t>אוקטובר</t>
        </is>
      </c>
      <c r="L3" s="4" t="inlineStr">
        <is>
          <t>נובמבר</t>
        </is>
      </c>
      <c r="M3" s="4" t="inlineStr">
        <is>
          <t>דצמבר</t>
        </is>
      </c>
      <c r="N3" s="4" t="inlineStr">
        <is>
          <t>סה״כ שנתי</t>
        </is>
      </c>
    </row>
    <row r="4">
      <c r="A4" s="8" t="inlineStr">
        <is>
          <t>שכר ונלוות</t>
        </is>
      </c>
      <c r="B4" s="11" t="n">
        <v>168000</v>
      </c>
      <c r="C4" s="11" t="n">
        <v>166300</v>
      </c>
      <c r="D4" s="11" t="n">
        <v>171400</v>
      </c>
      <c r="E4" s="11" t="n">
        <v>169700</v>
      </c>
      <c r="F4" s="11" t="n">
        <v>174700</v>
      </c>
      <c r="G4" s="11" t="n">
        <v>178100</v>
      </c>
      <c r="H4" s="12" t="n">
        <v>176400</v>
      </c>
      <c r="I4" s="12" t="n">
        <v>179800</v>
      </c>
      <c r="J4" s="12" t="n">
        <v>178100</v>
      </c>
      <c r="K4" s="12" t="n">
        <v>181400</v>
      </c>
      <c r="L4" s="12" t="n">
        <v>184800</v>
      </c>
      <c r="M4" s="12" t="n">
        <v>193200</v>
      </c>
      <c r="N4" s="13">
        <f>SUM(B4:M4)</f>
        <v/>
      </c>
    </row>
    <row r="5">
      <c r="A5" s="8" t="inlineStr">
        <is>
          <t>שכר דירה וארנונה</t>
        </is>
      </c>
      <c r="B5" s="11" t="n">
        <v>62000</v>
      </c>
      <c r="C5" s="11" t="n">
        <v>61400</v>
      </c>
      <c r="D5" s="11" t="n">
        <v>63200</v>
      </c>
      <c r="E5" s="11" t="n">
        <v>62600</v>
      </c>
      <c r="F5" s="11" t="n">
        <v>64500</v>
      </c>
      <c r="G5" s="11" t="n">
        <v>65700</v>
      </c>
      <c r="H5" s="12" t="n">
        <v>65100</v>
      </c>
      <c r="I5" s="12" t="n">
        <v>66300</v>
      </c>
      <c r="J5" s="12" t="n">
        <v>65700</v>
      </c>
      <c r="K5" s="12" t="n">
        <v>67000</v>
      </c>
      <c r="L5" s="12" t="n">
        <v>68200</v>
      </c>
      <c r="M5" s="12" t="n">
        <v>71300</v>
      </c>
      <c r="N5" s="13">
        <f>SUM(B5:M5)</f>
        <v/>
      </c>
    </row>
    <row r="6">
      <c r="A6" s="8" t="inlineStr">
        <is>
          <t>שיווק ופרסום</t>
        </is>
      </c>
      <c r="B6" s="11" t="n">
        <v>41500</v>
      </c>
      <c r="C6" s="11" t="n">
        <v>41100</v>
      </c>
      <c r="D6" s="11" t="n">
        <v>42300</v>
      </c>
      <c r="E6" s="11" t="n">
        <v>41900</v>
      </c>
      <c r="F6" s="11" t="n">
        <v>43200</v>
      </c>
      <c r="G6" s="11" t="n">
        <v>44000</v>
      </c>
      <c r="H6" s="12" t="n">
        <v>43600</v>
      </c>
      <c r="I6" s="12" t="n">
        <v>44400</v>
      </c>
      <c r="J6" s="12" t="n">
        <v>44000</v>
      </c>
      <c r="K6" s="12" t="n">
        <v>44800</v>
      </c>
      <c r="L6" s="12" t="n">
        <v>45700</v>
      </c>
      <c r="M6" s="12" t="n">
        <v>47700</v>
      </c>
      <c r="N6" s="13">
        <f>SUM(B6:M6)</f>
        <v/>
      </c>
    </row>
    <row r="7">
      <c r="A7" s="8" t="inlineStr">
        <is>
          <t>חשמל, מים ותקשורת</t>
        </is>
      </c>
      <c r="B7" s="11" t="n">
        <v>11800</v>
      </c>
      <c r="C7" s="11" t="n">
        <v>11700</v>
      </c>
      <c r="D7" s="11" t="n">
        <v>12000</v>
      </c>
      <c r="E7" s="11" t="n">
        <v>11900</v>
      </c>
      <c r="F7" s="11" t="n">
        <v>12300</v>
      </c>
      <c r="G7" s="11" t="n">
        <v>12500</v>
      </c>
      <c r="H7" s="12" t="n">
        <v>12400</v>
      </c>
      <c r="I7" s="12" t="n">
        <v>12600</v>
      </c>
      <c r="J7" s="12" t="n">
        <v>12500</v>
      </c>
      <c r="K7" s="12" t="n">
        <v>12700</v>
      </c>
      <c r="L7" s="12" t="n">
        <v>13000</v>
      </c>
      <c r="M7" s="12" t="n">
        <v>13600</v>
      </c>
      <c r="N7" s="13">
        <f>SUM(B7:M7)</f>
        <v/>
      </c>
    </row>
    <row r="8">
      <c r="A8" s="8" t="inlineStr">
        <is>
          <t>הוצאות משרד</t>
        </is>
      </c>
      <c r="B8" s="11" t="n">
        <v>7400</v>
      </c>
      <c r="C8" s="11" t="n">
        <v>7300</v>
      </c>
      <c r="D8" s="11" t="n">
        <v>7500</v>
      </c>
      <c r="E8" s="11" t="n">
        <v>7500</v>
      </c>
      <c r="F8" s="11" t="n">
        <v>7700</v>
      </c>
      <c r="G8" s="11" t="n">
        <v>7800</v>
      </c>
      <c r="H8" s="12" t="n">
        <v>7800</v>
      </c>
      <c r="I8" s="12" t="n">
        <v>7900</v>
      </c>
      <c r="J8" s="12" t="n">
        <v>7800</v>
      </c>
      <c r="K8" s="12" t="n">
        <v>8000</v>
      </c>
      <c r="L8" s="12" t="n">
        <v>8100</v>
      </c>
      <c r="M8" s="12" t="n">
        <v>8500</v>
      </c>
      <c r="N8" s="13">
        <f>SUM(B8:M8)</f>
        <v/>
      </c>
    </row>
    <row r="9">
      <c r="A9" s="8" t="inlineStr">
        <is>
          <t>עמלות סליקה</t>
        </is>
      </c>
      <c r="B9" s="11" t="n">
        <v>14200</v>
      </c>
      <c r="C9" s="11" t="n">
        <v>14100</v>
      </c>
      <c r="D9" s="11" t="n">
        <v>14500</v>
      </c>
      <c r="E9" s="11" t="n">
        <v>14300</v>
      </c>
      <c r="F9" s="11" t="n">
        <v>14800</v>
      </c>
      <c r="G9" s="11" t="n">
        <v>15100</v>
      </c>
      <c r="H9" s="12" t="n">
        <v>14900</v>
      </c>
      <c r="I9" s="12" t="n">
        <v>15200</v>
      </c>
      <c r="J9" s="12" t="n">
        <v>15100</v>
      </c>
      <c r="K9" s="12" t="n">
        <v>15300</v>
      </c>
      <c r="L9" s="12" t="n">
        <v>15600</v>
      </c>
      <c r="M9" s="12" t="n">
        <v>16300</v>
      </c>
      <c r="N9" s="13">
        <f>SUM(B9:M9)</f>
        <v/>
      </c>
    </row>
    <row r="10">
      <c r="A10" s="8" t="inlineStr">
        <is>
          <t>הובלה ושילוח</t>
        </is>
      </c>
      <c r="B10" s="11" t="n">
        <v>19600</v>
      </c>
      <c r="C10" s="11" t="n">
        <v>19400</v>
      </c>
      <c r="D10" s="11" t="n">
        <v>20000</v>
      </c>
      <c r="E10" s="11" t="n">
        <v>19800</v>
      </c>
      <c r="F10" s="11" t="n">
        <v>20400</v>
      </c>
      <c r="G10" s="11" t="n">
        <v>20800</v>
      </c>
      <c r="H10" s="12" t="n">
        <v>20600</v>
      </c>
      <c r="I10" s="12" t="n">
        <v>21000</v>
      </c>
      <c r="J10" s="12" t="n">
        <v>20800</v>
      </c>
      <c r="K10" s="12" t="n">
        <v>21200</v>
      </c>
      <c r="L10" s="12" t="n">
        <v>21600</v>
      </c>
      <c r="M10" s="12" t="n">
        <v>22500</v>
      </c>
      <c r="N10" s="13">
        <f>SUM(B10:M10)</f>
        <v/>
      </c>
    </row>
    <row r="11">
      <c r="A11" s="8" t="inlineStr">
        <is>
          <t>ביטוח</t>
        </is>
      </c>
      <c r="B11" s="11" t="n">
        <v>8300</v>
      </c>
      <c r="C11" s="11" t="n">
        <v>8200</v>
      </c>
      <c r="D11" s="11" t="n">
        <v>8500</v>
      </c>
      <c r="E11" s="11" t="n">
        <v>8400</v>
      </c>
      <c r="F11" s="11" t="n">
        <v>8600</v>
      </c>
      <c r="G11" s="11" t="n">
        <v>8800</v>
      </c>
      <c r="H11" s="12" t="n">
        <v>8700</v>
      </c>
      <c r="I11" s="12" t="n">
        <v>8900</v>
      </c>
      <c r="J11" s="12" t="n">
        <v>8800</v>
      </c>
      <c r="K11" s="12" t="n">
        <v>9000</v>
      </c>
      <c r="L11" s="12" t="n">
        <v>9100</v>
      </c>
      <c r="M11" s="12" t="n">
        <v>9500</v>
      </c>
      <c r="N11" s="13">
        <f>SUM(B11:M11)</f>
        <v/>
      </c>
    </row>
    <row r="12">
      <c r="A12" s="8" t="inlineStr">
        <is>
          <t>פחת והפחתות</t>
        </is>
      </c>
      <c r="B12" s="11" t="n">
        <v>12000</v>
      </c>
      <c r="C12" s="11" t="n">
        <v>11900</v>
      </c>
      <c r="D12" s="11" t="n">
        <v>12200</v>
      </c>
      <c r="E12" s="11" t="n">
        <v>12100</v>
      </c>
      <c r="F12" s="11" t="n">
        <v>12500</v>
      </c>
      <c r="G12" s="11" t="n">
        <v>12700</v>
      </c>
      <c r="H12" s="12" t="n">
        <v>12600</v>
      </c>
      <c r="I12" s="12" t="n">
        <v>12800</v>
      </c>
      <c r="J12" s="12" t="n">
        <v>12700</v>
      </c>
      <c r="K12" s="12" t="n">
        <v>13000</v>
      </c>
      <c r="L12" s="12" t="n">
        <v>13200</v>
      </c>
      <c r="M12" s="12" t="n">
        <v>13800</v>
      </c>
      <c r="N12" s="13">
        <f>SUM(B12:M12)</f>
        <v/>
      </c>
    </row>
    <row r="13">
      <c r="A13" s="18" t="inlineStr">
        <is>
          <t>סה״כ הוצאות</t>
        </is>
      </c>
      <c r="B13" s="19">
        <f>SUM(B4:B12)</f>
        <v/>
      </c>
      <c r="C13" s="19">
        <f>SUM(C4:C12)</f>
        <v/>
      </c>
      <c r="D13" s="19">
        <f>SUM(D4:D12)</f>
        <v/>
      </c>
      <c r="E13" s="19">
        <f>SUM(E4:E12)</f>
        <v/>
      </c>
      <c r="F13" s="19">
        <f>SUM(F4:F12)</f>
        <v/>
      </c>
      <c r="G13" s="19">
        <f>SUM(G4:G12)</f>
        <v/>
      </c>
      <c r="H13" s="19">
        <f>SUM(H4:H12)</f>
        <v/>
      </c>
      <c r="I13" s="19">
        <f>SUM(I4:I12)</f>
        <v/>
      </c>
      <c r="J13" s="19">
        <f>SUM(J4:J12)</f>
        <v/>
      </c>
      <c r="K13" s="19">
        <f>SUM(K4:K12)</f>
        <v/>
      </c>
      <c r="L13" s="19">
        <f>SUM(L4:L12)</f>
        <v/>
      </c>
      <c r="M13" s="19">
        <f>SUM(M4:M12)</f>
        <v/>
      </c>
      <c r="N13" s="19">
        <f>SUM(N4:N12)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3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27" customWidth="1" min="14" max="14"/>
    <col width="13" customWidth="1" min="15" max="15"/>
  </cols>
  <sheetData>
    <row r="1">
      <c r="A1" s="1" t="inlineStr">
        <is>
          <t>דוח רווח והפסד —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/>
    <row r="3">
      <c r="A3" s="4" t="inlineStr">
        <is>
          <t>סעיף</t>
        </is>
      </c>
      <c r="B3" s="4" t="inlineStr">
        <is>
          <t>ינואר</t>
        </is>
      </c>
      <c r="C3" s="4" t="inlineStr">
        <is>
          <t>פברואר</t>
        </is>
      </c>
      <c r="D3" s="4" t="inlineStr">
        <is>
          <t>מרץ</t>
        </is>
      </c>
      <c r="E3" s="4" t="inlineStr">
        <is>
          <t>אפריל</t>
        </is>
      </c>
      <c r="F3" s="4" t="inlineStr">
        <is>
          <t>מאי</t>
        </is>
      </c>
      <c r="G3" s="4" t="inlineStr">
        <is>
          <t>יוני</t>
        </is>
      </c>
      <c r="H3" s="4" t="inlineStr">
        <is>
          <t>יולי</t>
        </is>
      </c>
      <c r="I3" s="4" t="inlineStr">
        <is>
          <t>אוגוסט</t>
        </is>
      </c>
      <c r="J3" s="4" t="inlineStr">
        <is>
          <t>ספטמבר</t>
        </is>
      </c>
      <c r="K3" s="4" t="inlineStr">
        <is>
          <t>אוקטובר</t>
        </is>
      </c>
      <c r="L3" s="4" t="inlineStr">
        <is>
          <t>נובמבר</t>
        </is>
      </c>
      <c r="M3" s="4" t="inlineStr">
        <is>
          <t>דצמבר</t>
        </is>
      </c>
      <c r="N3" s="4" t="inlineStr">
        <is>
          <t>סה״כ שנתי</t>
        </is>
      </c>
    </row>
    <row r="4">
      <c r="A4" s="8" t="inlineStr">
        <is>
          <t>הכנסות ברוטו</t>
        </is>
      </c>
      <c r="B4" s="20">
        <f>'הכנסות'!B9</f>
        <v/>
      </c>
      <c r="C4" s="20">
        <f>'הכנסות'!C9</f>
        <v/>
      </c>
      <c r="D4" s="20">
        <f>'הכנסות'!D9</f>
        <v/>
      </c>
      <c r="E4" s="20">
        <f>'הכנסות'!E9</f>
        <v/>
      </c>
      <c r="F4" s="20">
        <f>'הכנסות'!F9</f>
        <v/>
      </c>
      <c r="G4" s="20">
        <f>'הכנסות'!G9</f>
        <v/>
      </c>
      <c r="H4" s="20">
        <f>'הכנסות'!H9</f>
        <v/>
      </c>
      <c r="I4" s="20">
        <f>'הכנסות'!I9</f>
        <v/>
      </c>
      <c r="J4" s="20">
        <f>'הכנסות'!J9</f>
        <v/>
      </c>
      <c r="K4" s="20">
        <f>'הכנסות'!K9</f>
        <v/>
      </c>
      <c r="L4" s="20">
        <f>'הכנסות'!L9</f>
        <v/>
      </c>
      <c r="M4" s="20">
        <f>'הכנסות'!M9</f>
        <v/>
      </c>
      <c r="N4" s="21">
        <f>SUM(B4:M4)</f>
        <v/>
      </c>
    </row>
    <row r="5">
      <c r="A5" s="8" t="inlineStr">
        <is>
          <t>מע״מ</t>
        </is>
      </c>
      <c r="B5" s="20">
        <f>-'הכנסות'!B9*'הנחות ופרמטרים'!$B$5/(1+'הנחות ופרמטרים'!$B$5)</f>
        <v/>
      </c>
      <c r="C5" s="20">
        <f>-'הכנסות'!C9*'הנחות ופרמטרים'!$B$5/(1+'הנחות ופרמטרים'!$B$5)</f>
        <v/>
      </c>
      <c r="D5" s="20">
        <f>-'הכנסות'!D9*'הנחות ופרמטרים'!$B$5/(1+'הנחות ופרמטרים'!$B$5)</f>
        <v/>
      </c>
      <c r="E5" s="20">
        <f>-'הכנסות'!E9*'הנחות ופרמטרים'!$B$5/(1+'הנחות ופרמטרים'!$B$5)</f>
        <v/>
      </c>
      <c r="F5" s="20">
        <f>-'הכנסות'!F9*'הנחות ופרמטרים'!$B$5/(1+'הנחות ופרמטרים'!$B$5)</f>
        <v/>
      </c>
      <c r="G5" s="20">
        <f>-'הכנסות'!G9*'הנחות ופרמטרים'!$B$5/(1+'הנחות ופרמטרים'!$B$5)</f>
        <v/>
      </c>
      <c r="H5" s="20">
        <f>-'הכנסות'!H9*'הנחות ופרמטרים'!$B$5/(1+'הנחות ופרמטרים'!$B$5)</f>
        <v/>
      </c>
      <c r="I5" s="20">
        <f>-'הכנסות'!I9*'הנחות ופרמטרים'!$B$5/(1+'הנחות ופרמטרים'!$B$5)</f>
        <v/>
      </c>
      <c r="J5" s="20">
        <f>-'הכנסות'!J9*'הנחות ופרמטרים'!$B$5/(1+'הנחות ופרמטרים'!$B$5)</f>
        <v/>
      </c>
      <c r="K5" s="20">
        <f>-'הכנסות'!K9*'הנחות ופרמטרים'!$B$5/(1+'הנחות ופרמטרים'!$B$5)</f>
        <v/>
      </c>
      <c r="L5" s="20">
        <f>-'הכנסות'!L9*'הנחות ופרמטרים'!$B$5/(1+'הנחות ופרמטרים'!$B$5)</f>
        <v/>
      </c>
      <c r="M5" s="20">
        <f>-'הכנסות'!M9*'הנחות ופרמטרים'!$B$5/(1+'הנחות ופרמטרים'!$B$5)</f>
        <v/>
      </c>
      <c r="N5" s="21">
        <f>SUM(B5:M5)</f>
        <v/>
      </c>
    </row>
    <row r="6">
      <c r="A6" s="5" t="inlineStr">
        <is>
          <t>הכנסות נטו</t>
        </is>
      </c>
      <c r="B6" s="22">
        <f>B4+B5</f>
        <v/>
      </c>
      <c r="C6" s="22">
        <f>C4+C5</f>
        <v/>
      </c>
      <c r="D6" s="22">
        <f>D4+D5</f>
        <v/>
      </c>
      <c r="E6" s="22">
        <f>E4+E5</f>
        <v/>
      </c>
      <c r="F6" s="22">
        <f>F4+F5</f>
        <v/>
      </c>
      <c r="G6" s="22">
        <f>G4+G5</f>
        <v/>
      </c>
      <c r="H6" s="22">
        <f>H4+H5</f>
        <v/>
      </c>
      <c r="I6" s="22">
        <f>I4+I5</f>
        <v/>
      </c>
      <c r="J6" s="22">
        <f>J4+J5</f>
        <v/>
      </c>
      <c r="K6" s="22">
        <f>K4+K5</f>
        <v/>
      </c>
      <c r="L6" s="22">
        <f>L4+L5</f>
        <v/>
      </c>
      <c r="M6" s="22">
        <f>M4+M5</f>
        <v/>
      </c>
      <c r="N6" s="22">
        <f>SUM(B6:M6)</f>
        <v/>
      </c>
    </row>
    <row r="7">
      <c r="A7" s="8" t="inlineStr">
        <is>
          <t>עלות המכר</t>
        </is>
      </c>
      <c r="B7" s="20">
        <f>-B6*'הנחות ופרמטרים'!$B$6</f>
        <v/>
      </c>
      <c r="C7" s="20">
        <f>-C6*'הנחות ופרמטרים'!$B$6</f>
        <v/>
      </c>
      <c r="D7" s="20">
        <f>-D6*'הנחות ופרמטרים'!$B$6</f>
        <v/>
      </c>
      <c r="E7" s="20">
        <f>-E6*'הנחות ופרמטרים'!$B$6</f>
        <v/>
      </c>
      <c r="F7" s="20">
        <f>-F6*'הנחות ופרמטרים'!$B$6</f>
        <v/>
      </c>
      <c r="G7" s="20">
        <f>-G6*'הנחות ופרמטרים'!$B$6</f>
        <v/>
      </c>
      <c r="H7" s="20">
        <f>-H6*'הנחות ופרמטרים'!$B$6</f>
        <v/>
      </c>
      <c r="I7" s="20">
        <f>-I6*'הנחות ופרמטרים'!$B$6</f>
        <v/>
      </c>
      <c r="J7" s="20">
        <f>-J6*'הנחות ופרמטרים'!$B$6</f>
        <v/>
      </c>
      <c r="K7" s="20">
        <f>-K6*'הנחות ופרמטרים'!$B$6</f>
        <v/>
      </c>
      <c r="L7" s="20">
        <f>-L6*'הנחות ופרמטרים'!$B$6</f>
        <v/>
      </c>
      <c r="M7" s="20">
        <f>-M6*'הנחות ופרמטרים'!$B$6</f>
        <v/>
      </c>
      <c r="N7" s="21">
        <f>SUM(B7:M7)</f>
        <v/>
      </c>
    </row>
    <row r="8">
      <c r="A8" s="5" t="inlineStr">
        <is>
          <t>רווח גולמי</t>
        </is>
      </c>
      <c r="B8" s="22">
        <f>B6+B7</f>
        <v/>
      </c>
      <c r="C8" s="22">
        <f>C6+C7</f>
        <v/>
      </c>
      <c r="D8" s="22">
        <f>D6+D7</f>
        <v/>
      </c>
      <c r="E8" s="22">
        <f>E6+E7</f>
        <v/>
      </c>
      <c r="F8" s="22">
        <f>F6+F7</f>
        <v/>
      </c>
      <c r="G8" s="22">
        <f>G6+G7</f>
        <v/>
      </c>
      <c r="H8" s="22">
        <f>H6+H7</f>
        <v/>
      </c>
      <c r="I8" s="22">
        <f>I6+I7</f>
        <v/>
      </c>
      <c r="J8" s="22">
        <f>J6+J7</f>
        <v/>
      </c>
      <c r="K8" s="22">
        <f>K6+K7</f>
        <v/>
      </c>
      <c r="L8" s="22">
        <f>L6+L7</f>
        <v/>
      </c>
      <c r="M8" s="22">
        <f>M6+M7</f>
        <v/>
      </c>
      <c r="N8" s="22">
        <f>SUM(B8:M8)</f>
        <v/>
      </c>
    </row>
    <row r="9">
      <c r="A9" s="8" t="inlineStr">
        <is>
          <t>הוצאות תפעוליות</t>
        </is>
      </c>
      <c r="B9" s="20">
        <f>-'הוצאות'!B13</f>
        <v/>
      </c>
      <c r="C9" s="20">
        <f>-'הוצאות'!C13</f>
        <v/>
      </c>
      <c r="D9" s="20">
        <f>-'הוצאות'!D13</f>
        <v/>
      </c>
      <c r="E9" s="20">
        <f>-'הוצאות'!E13</f>
        <v/>
      </c>
      <c r="F9" s="20">
        <f>-'הוצאות'!F13</f>
        <v/>
      </c>
      <c r="G9" s="20">
        <f>-'הוצאות'!G13</f>
        <v/>
      </c>
      <c r="H9" s="20">
        <f>-'הוצאות'!H13</f>
        <v/>
      </c>
      <c r="I9" s="20">
        <f>-'הוצאות'!I13</f>
        <v/>
      </c>
      <c r="J9" s="20">
        <f>-'הוצאות'!J13</f>
        <v/>
      </c>
      <c r="K9" s="20">
        <f>-'הוצאות'!K13</f>
        <v/>
      </c>
      <c r="L9" s="20">
        <f>-'הוצאות'!L13</f>
        <v/>
      </c>
      <c r="M9" s="20">
        <f>-'הוצאות'!M13</f>
        <v/>
      </c>
      <c r="N9" s="21">
        <f>SUM(B9:M9)</f>
        <v/>
      </c>
    </row>
    <row r="10">
      <c r="A10" s="5" t="inlineStr">
        <is>
          <t>רווח תפעולי</t>
        </is>
      </c>
      <c r="B10" s="22">
        <f>B8+B9</f>
        <v/>
      </c>
      <c r="C10" s="22">
        <f>C8+C9</f>
        <v/>
      </c>
      <c r="D10" s="22">
        <f>D8+D9</f>
        <v/>
      </c>
      <c r="E10" s="22">
        <f>E8+E9</f>
        <v/>
      </c>
      <c r="F10" s="22">
        <f>F8+F9</f>
        <v/>
      </c>
      <c r="G10" s="22">
        <f>G8+G9</f>
        <v/>
      </c>
      <c r="H10" s="22">
        <f>H8+H9</f>
        <v/>
      </c>
      <c r="I10" s="22">
        <f>I8+I9</f>
        <v/>
      </c>
      <c r="J10" s="22">
        <f>J8+J9</f>
        <v/>
      </c>
      <c r="K10" s="22">
        <f>K8+K9</f>
        <v/>
      </c>
      <c r="L10" s="22">
        <f>L8+L9</f>
        <v/>
      </c>
      <c r="M10" s="22">
        <f>M8+M9</f>
        <v/>
      </c>
      <c r="N10" s="22">
        <f>SUM(B10:M10)</f>
        <v/>
      </c>
    </row>
    <row r="11"/>
    <row r="12">
      <c r="A12" s="23" t="inlineStr">
        <is>
          <t>שיעור רווח גולמי</t>
        </is>
      </c>
      <c r="B12" s="24">
        <f>IFERROR(B8/B6,0)</f>
        <v/>
      </c>
      <c r="C12" s="24">
        <f>IFERROR(C8/C6,0)</f>
        <v/>
      </c>
      <c r="D12" s="24">
        <f>IFERROR(D8/D6,0)</f>
        <v/>
      </c>
      <c r="E12" s="24">
        <f>IFERROR(E8/E6,0)</f>
        <v/>
      </c>
      <c r="F12" s="24">
        <f>IFERROR(F8/F6,0)</f>
        <v/>
      </c>
      <c r="G12" s="24">
        <f>IFERROR(G8/G6,0)</f>
        <v/>
      </c>
      <c r="H12" s="24">
        <f>IFERROR(H8/H6,0)</f>
        <v/>
      </c>
      <c r="I12" s="24">
        <f>IFERROR(I8/I6,0)</f>
        <v/>
      </c>
      <c r="J12" s="24">
        <f>IFERROR(J8/J6,0)</f>
        <v/>
      </c>
      <c r="K12" s="24">
        <f>IFERROR(K8/K6,0)</f>
        <v/>
      </c>
      <c r="L12" s="24">
        <f>IFERROR(L8/L6,0)</f>
        <v/>
      </c>
      <c r="M12" s="24">
        <f>IFERROR(M8/M6,0)</f>
        <v/>
      </c>
      <c r="N12" s="25">
        <f>IFERROR(N8/N6,0)</f>
        <v/>
      </c>
    </row>
    <row r="13">
      <c r="A13" s="23" t="inlineStr">
        <is>
          <t>שיעור רווח תפעולי</t>
        </is>
      </c>
      <c r="B13" s="24">
        <f>IFERROR(B10/B6,0)</f>
        <v/>
      </c>
      <c r="C13" s="24">
        <f>IFERROR(C10/C6,0)</f>
        <v/>
      </c>
      <c r="D13" s="24">
        <f>IFERROR(D10/D6,0)</f>
        <v/>
      </c>
      <c r="E13" s="24">
        <f>IFERROR(E10/E6,0)</f>
        <v/>
      </c>
      <c r="F13" s="24">
        <f>IFERROR(F10/F6,0)</f>
        <v/>
      </c>
      <c r="G13" s="24">
        <f>IFERROR(G10/G6,0)</f>
        <v/>
      </c>
      <c r="H13" s="24">
        <f>IFERROR(H10/H6,0)</f>
        <v/>
      </c>
      <c r="I13" s="24">
        <f>IFERROR(I10/I6,0)</f>
        <v/>
      </c>
      <c r="J13" s="24">
        <f>IFERROR(J10/J6,0)</f>
        <v/>
      </c>
      <c r="K13" s="24">
        <f>IFERROR(K10/K6,0)</f>
        <v/>
      </c>
      <c r="L13" s="24">
        <f>IFERROR(L10/L6,0)</f>
        <v/>
      </c>
      <c r="M13" s="24">
        <f>IFERROR(M10/M6,0)</f>
        <v/>
      </c>
      <c r="N13" s="25">
        <f>IFERROR(N10/N6,0)</f>
        <v/>
      </c>
    </row>
  </sheetData>
  <conditionalFormatting sqref="B10:M10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8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7" customWidth="1" min="1" max="1"/>
    <col width="27" customWidth="1" min="2" max="2"/>
    <col width="13" customWidth="1" min="3" max="3"/>
    <col width="11" customWidth="1" min="4" max="4"/>
    <col width="11" customWidth="1" min="5" max="5"/>
    <col width="17" customWidth="1" min="6" max="6"/>
    <col width="19" customWidth="1" min="7" max="7"/>
    <col width="50" customWidth="1" min="8" max="8"/>
    <col width="50" customWidth="1" min="9" max="9"/>
    <col width="18" customWidth="1" min="10" max="10"/>
    <col width="43" customWidth="1" min="11" max="11"/>
  </cols>
  <sheetData>
    <row r="1">
      <c r="A1" s="1" t="inlineStr">
        <is>
          <t>ניהול מלאי — פריטים פעילים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/>
    <row r="3">
      <c r="A3" s="4" t="inlineStr">
        <is>
          <t>מק״ט</t>
        </is>
      </c>
      <c r="B3" s="4" t="inlineStr">
        <is>
          <t>תיאור פריט</t>
        </is>
      </c>
      <c r="C3" s="4" t="inlineStr">
        <is>
          <t>קטגוריה</t>
        </is>
      </c>
      <c r="D3" s="4" t="inlineStr">
        <is>
          <t>מידה</t>
        </is>
      </c>
      <c r="E3" s="4" t="inlineStr">
        <is>
          <t>צבע</t>
        </is>
      </c>
      <c r="F3" s="4" t="inlineStr">
        <is>
          <t>מלאי נוכחי</t>
        </is>
      </c>
      <c r="G3" s="4" t="inlineStr">
        <is>
          <t>צריכה חודשית</t>
        </is>
      </c>
      <c r="H3" s="4" t="inlineStr">
        <is>
          <t>מלאי בטחון</t>
        </is>
      </c>
      <c r="I3" s="4" t="inlineStr">
        <is>
          <t>נקודת הזמנה</t>
        </is>
      </c>
      <c r="J3" s="4" t="inlineStr">
        <is>
          <t>עלות ליחידה</t>
        </is>
      </c>
      <c r="K3" s="4" t="inlineStr">
        <is>
          <t>שווי מלאי</t>
        </is>
      </c>
    </row>
    <row r="4">
      <c r="A4" s="8" t="inlineStr">
        <is>
          <t>TS-1041</t>
        </is>
      </c>
      <c r="B4" s="8" t="inlineStr">
        <is>
          <t>חולצת טי כותנה</t>
        </is>
      </c>
      <c r="C4" s="8" t="inlineStr">
        <is>
          <t>חולצות</t>
        </is>
      </c>
      <c r="D4" s="8" t="inlineStr">
        <is>
          <t>M</t>
        </is>
      </c>
      <c r="E4" s="8" t="inlineStr">
        <is>
          <t>לבן</t>
        </is>
      </c>
      <c r="F4" s="10" t="n">
        <v>340</v>
      </c>
      <c r="G4" s="10" t="n">
        <v>120</v>
      </c>
      <c r="H4" s="26">
        <f>ROUND(G4*'הנחות ופרמטרים'!$B$10,0)</f>
        <v/>
      </c>
      <c r="I4" s="26">
        <f>ROUND(G4/30*'הנחות ופרמטרים'!$B$11+H4,0)</f>
        <v/>
      </c>
      <c r="J4" s="27" t="n">
        <v>24.9</v>
      </c>
      <c r="K4" s="28">
        <f>F4*J4</f>
        <v/>
      </c>
    </row>
    <row r="5">
      <c r="A5" s="8" t="inlineStr">
        <is>
          <t>TS-1042</t>
        </is>
      </c>
      <c r="B5" s="8" t="inlineStr">
        <is>
          <t>חולצת טי כותנה</t>
        </is>
      </c>
      <c r="C5" s="8" t="inlineStr">
        <is>
          <t>חולצות</t>
        </is>
      </c>
      <c r="D5" s="8" t="inlineStr">
        <is>
          <t>L</t>
        </is>
      </c>
      <c r="E5" s="8" t="inlineStr">
        <is>
          <t>שחור</t>
        </is>
      </c>
      <c r="F5" s="10" t="n">
        <v>92</v>
      </c>
      <c r="G5" s="10" t="n">
        <v>145</v>
      </c>
      <c r="H5" s="26">
        <f>ROUND(G5*'הנחות ופרמטרים'!$B$10,0)</f>
        <v/>
      </c>
      <c r="I5" s="26">
        <f>ROUND(G5/30*'הנחות ופרמטרים'!$B$11+H5,0)</f>
        <v/>
      </c>
      <c r="J5" s="27" t="n">
        <v>24.9</v>
      </c>
      <c r="K5" s="28">
        <f>F5*J5</f>
        <v/>
      </c>
    </row>
    <row r="6">
      <c r="A6" s="8" t="inlineStr">
        <is>
          <t>SH-2210</t>
        </is>
      </c>
      <c r="B6" s="8" t="inlineStr">
        <is>
          <t>חולצה מכופתרת פשתן</t>
        </is>
      </c>
      <c r="C6" s="8" t="inlineStr">
        <is>
          <t>חולצות</t>
        </is>
      </c>
      <c r="D6" s="8" t="inlineStr">
        <is>
          <t>L</t>
        </is>
      </c>
      <c r="E6" s="8" t="inlineStr">
        <is>
          <t>תכלת</t>
        </is>
      </c>
      <c r="F6" s="10" t="n">
        <v>156</v>
      </c>
      <c r="G6" s="10" t="n">
        <v>48</v>
      </c>
      <c r="H6" s="26">
        <f>ROUND(G6*'הנחות ופרמטרים'!$B$10,0)</f>
        <v/>
      </c>
      <c r="I6" s="26">
        <f>ROUND(G6/30*'הנחות ופרמטרים'!$B$11+H6,0)</f>
        <v/>
      </c>
      <c r="J6" s="27" t="n">
        <v>68</v>
      </c>
      <c r="K6" s="28">
        <f>F6*J6</f>
        <v/>
      </c>
    </row>
    <row r="7">
      <c r="A7" s="8" t="inlineStr">
        <is>
          <t>JN-3305</t>
        </is>
      </c>
      <c r="B7" s="8" t="inlineStr">
        <is>
          <t>מכנסי ג׳ינס סלים</t>
        </is>
      </c>
      <c r="C7" s="8" t="inlineStr">
        <is>
          <t>מכנסיים</t>
        </is>
      </c>
      <c r="D7" s="8" t="inlineStr">
        <is>
          <t>32</t>
        </is>
      </c>
      <c r="E7" s="8" t="inlineStr">
        <is>
          <t>כחול</t>
        </is>
      </c>
      <c r="F7" s="10" t="n">
        <v>78</v>
      </c>
      <c r="G7" s="10" t="n">
        <v>62</v>
      </c>
      <c r="H7" s="26">
        <f>ROUND(G7*'הנחות ופרמטרים'!$B$10,0)</f>
        <v/>
      </c>
      <c r="I7" s="26">
        <f>ROUND(G7/30*'הנחות ופרמטרים'!$B$11+H7,0)</f>
        <v/>
      </c>
      <c r="J7" s="27" t="n">
        <v>96.5</v>
      </c>
      <c r="K7" s="28">
        <f>F7*J7</f>
        <v/>
      </c>
    </row>
    <row r="8">
      <c r="A8" s="8" t="inlineStr">
        <is>
          <t>JN-3307</t>
        </is>
      </c>
      <c r="B8" s="8" t="inlineStr">
        <is>
          <t>מכנסי ג׳ינס ישר</t>
        </is>
      </c>
      <c r="C8" s="8" t="inlineStr">
        <is>
          <t>מכנסיים</t>
        </is>
      </c>
      <c r="D8" s="8" t="inlineStr">
        <is>
          <t>34</t>
        </is>
      </c>
      <c r="E8" s="8" t="inlineStr">
        <is>
          <t>שחור</t>
        </is>
      </c>
      <c r="F8" s="10" t="n">
        <v>210</v>
      </c>
      <c r="G8" s="10" t="n">
        <v>55</v>
      </c>
      <c r="H8" s="26">
        <f>ROUND(G8*'הנחות ופרמטרים'!$B$10,0)</f>
        <v/>
      </c>
      <c r="I8" s="26">
        <f>ROUND(G8/30*'הנחות ופרמטרים'!$B$11+H8,0)</f>
        <v/>
      </c>
      <c r="J8" s="27" t="n">
        <v>96.5</v>
      </c>
      <c r="K8" s="28">
        <f>F8*J8</f>
        <v/>
      </c>
    </row>
    <row r="9">
      <c r="A9" s="8" t="inlineStr">
        <is>
          <t>DR-4102</t>
        </is>
      </c>
      <c r="B9" s="8" t="inlineStr">
        <is>
          <t>שמלת קיץ פרחונית</t>
        </is>
      </c>
      <c r="C9" s="8" t="inlineStr">
        <is>
          <t>שמלות</t>
        </is>
      </c>
      <c r="D9" s="8" t="inlineStr">
        <is>
          <t>S</t>
        </is>
      </c>
      <c r="E9" s="8" t="inlineStr">
        <is>
          <t>ורוד</t>
        </is>
      </c>
      <c r="F9" s="10" t="n">
        <v>45</v>
      </c>
      <c r="G9" s="10" t="n">
        <v>38</v>
      </c>
      <c r="H9" s="26">
        <f>ROUND(G9*'הנחות ופרמטרים'!$B$10,0)</f>
        <v/>
      </c>
      <c r="I9" s="26">
        <f>ROUND(G9/30*'הנחות ופרמטרים'!$B$11+H9,0)</f>
        <v/>
      </c>
      <c r="J9" s="27" t="n">
        <v>112</v>
      </c>
      <c r="K9" s="28">
        <f>F9*J9</f>
        <v/>
      </c>
    </row>
    <row r="10">
      <c r="A10" s="8" t="inlineStr">
        <is>
          <t>DR-4108</t>
        </is>
      </c>
      <c r="B10" s="8" t="inlineStr">
        <is>
          <t>שמלת ערב</t>
        </is>
      </c>
      <c r="C10" s="8" t="inlineStr">
        <is>
          <t>שמלות</t>
        </is>
      </c>
      <c r="D10" s="8" t="inlineStr">
        <is>
          <t>M</t>
        </is>
      </c>
      <c r="E10" s="8" t="inlineStr">
        <is>
          <t>שחור</t>
        </is>
      </c>
      <c r="F10" s="10" t="n">
        <v>31</v>
      </c>
      <c r="G10" s="10" t="n">
        <v>14</v>
      </c>
      <c r="H10" s="26">
        <f>ROUND(G10*'הנחות ופרמטרים'!$B$10,0)</f>
        <v/>
      </c>
      <c r="I10" s="26">
        <f>ROUND(G10/30*'הנחות ופרמטרים'!$B$11+H10,0)</f>
        <v/>
      </c>
      <c r="J10" s="27" t="n">
        <v>245</v>
      </c>
      <c r="K10" s="28">
        <f>F10*J10</f>
        <v/>
      </c>
    </row>
    <row r="11">
      <c r="A11" s="8" t="inlineStr">
        <is>
          <t>JK-5501</t>
        </is>
      </c>
      <c r="B11" s="8" t="inlineStr">
        <is>
          <t>מעיל חורף מרופד</t>
        </is>
      </c>
      <c r="C11" s="8" t="inlineStr">
        <is>
          <t>מעילים</t>
        </is>
      </c>
      <c r="D11" s="8" t="inlineStr">
        <is>
          <t>XL</t>
        </is>
      </c>
      <c r="E11" s="8" t="inlineStr">
        <is>
          <t>אפור</t>
        </is>
      </c>
      <c r="F11" s="10" t="n">
        <v>118</v>
      </c>
      <c r="G11" s="10" t="n">
        <v>22</v>
      </c>
      <c r="H11" s="26">
        <f>ROUND(G11*'הנחות ופרמטרים'!$B$10,0)</f>
        <v/>
      </c>
      <c r="I11" s="26">
        <f>ROUND(G11/30*'הנחות ופרמטרים'!$B$11+H11,0)</f>
        <v/>
      </c>
      <c r="J11" s="27" t="n">
        <v>189</v>
      </c>
      <c r="K11" s="28">
        <f>F11*J11</f>
        <v/>
      </c>
    </row>
    <row r="12">
      <c r="A12" s="8" t="inlineStr">
        <is>
          <t>JK-5504</t>
        </is>
      </c>
      <c r="B12" s="8" t="inlineStr">
        <is>
          <t>ג׳קט ג׳ינס</t>
        </is>
      </c>
      <c r="C12" s="8" t="inlineStr">
        <is>
          <t>מעילים</t>
        </is>
      </c>
      <c r="D12" s="8" t="inlineStr">
        <is>
          <t>M</t>
        </is>
      </c>
      <c r="E12" s="8" t="inlineStr">
        <is>
          <t>כחול</t>
        </is>
      </c>
      <c r="F12" s="10" t="n">
        <v>64</v>
      </c>
      <c r="G12" s="10" t="n">
        <v>31</v>
      </c>
      <c r="H12" s="26">
        <f>ROUND(G12*'הנחות ופרמטרים'!$B$10,0)</f>
        <v/>
      </c>
      <c r="I12" s="26">
        <f>ROUND(G12/30*'הנחות ופרמטרים'!$B$11+H12,0)</f>
        <v/>
      </c>
      <c r="J12" s="27" t="n">
        <v>154</v>
      </c>
      <c r="K12" s="28">
        <f>F12*J12</f>
        <v/>
      </c>
    </row>
    <row r="13">
      <c r="A13" s="8" t="inlineStr">
        <is>
          <t>AC-6001</t>
        </is>
      </c>
      <c r="B13" s="8" t="inlineStr">
        <is>
          <t>חגורת עור</t>
        </is>
      </c>
      <c r="C13" s="8" t="inlineStr">
        <is>
          <t>אביזרים</t>
        </is>
      </c>
      <c r="D13" s="8" t="inlineStr">
        <is>
          <t>יחיד</t>
        </is>
      </c>
      <c r="E13" s="8" t="inlineStr">
        <is>
          <t>חום</t>
        </is>
      </c>
      <c r="F13" s="10" t="n">
        <v>205</v>
      </c>
      <c r="G13" s="10" t="n">
        <v>40</v>
      </c>
      <c r="H13" s="26">
        <f>ROUND(G13*'הנחות ופרמטרים'!$B$10,0)</f>
        <v/>
      </c>
      <c r="I13" s="26">
        <f>ROUND(G13/30*'הנחות ופרמטרים'!$B$11+H13,0)</f>
        <v/>
      </c>
      <c r="J13" s="27" t="n">
        <v>42</v>
      </c>
      <c r="K13" s="28">
        <f>F13*J13</f>
        <v/>
      </c>
    </row>
    <row r="14">
      <c r="A14" s="8" t="inlineStr">
        <is>
          <t>AC-6014</t>
        </is>
      </c>
      <c r="B14" s="8" t="inlineStr">
        <is>
          <t>צעיף צמר</t>
        </is>
      </c>
      <c r="C14" s="8" t="inlineStr">
        <is>
          <t>אביזרים</t>
        </is>
      </c>
      <c r="D14" s="8" t="inlineStr">
        <is>
          <t>יחיד</t>
        </is>
      </c>
      <c r="E14" s="8" t="inlineStr">
        <is>
          <t>בורדו</t>
        </is>
      </c>
      <c r="F14" s="10" t="n">
        <v>88</v>
      </c>
      <c r="G14" s="10" t="n">
        <v>18</v>
      </c>
      <c r="H14" s="26">
        <f>ROUND(G14*'הנחות ופרמטרים'!$B$10,0)</f>
        <v/>
      </c>
      <c r="I14" s="26">
        <f>ROUND(G14/30*'הנחות ופרמטרים'!$B$11+H14,0)</f>
        <v/>
      </c>
      <c r="J14" s="27" t="n">
        <v>38.5</v>
      </c>
      <c r="K14" s="28">
        <f>F14*J14</f>
        <v/>
      </c>
    </row>
    <row r="15">
      <c r="A15" s="8" t="inlineStr">
        <is>
          <t>SK-7203</t>
        </is>
      </c>
      <c r="B15" s="8" t="inlineStr">
        <is>
          <t>חצאית מידי</t>
        </is>
      </c>
      <c r="C15" s="8" t="inlineStr">
        <is>
          <t>חצאיות</t>
        </is>
      </c>
      <c r="D15" s="8" t="inlineStr">
        <is>
          <t>S</t>
        </is>
      </c>
      <c r="E15" s="8" t="inlineStr">
        <is>
          <t>ירוק</t>
        </is>
      </c>
      <c r="F15" s="10" t="n">
        <v>52</v>
      </c>
      <c r="G15" s="10" t="n">
        <v>27</v>
      </c>
      <c r="H15" s="26">
        <f>ROUND(G15*'הנחות ופרמטרים'!$B$10,0)</f>
        <v/>
      </c>
      <c r="I15" s="26">
        <f>ROUND(G15/30*'הנחות ופרמטרים'!$B$11+H15,0)</f>
        <v/>
      </c>
      <c r="J15" s="27" t="n">
        <v>78</v>
      </c>
      <c r="K15" s="28">
        <f>F15*J15</f>
        <v/>
      </c>
    </row>
    <row r="16"/>
    <row r="17">
      <c r="A17" s="29" t="inlineStr">
        <is>
          <t>סה״כ שווי מלאי</t>
        </is>
      </c>
      <c r="K17" s="30">
        <f>SUM(K4:K15)</f>
        <v/>
      </c>
    </row>
    <row r="18">
      <c r="A18" s="29" t="inlineStr">
        <is>
          <t>פריטים מתחת לנקודת הזמנה</t>
        </is>
      </c>
      <c r="K18" s="31">
        <f>SUMPRODUCT(--(F4:F15&lt;I4:I15))</f>
        <v/>
      </c>
    </row>
  </sheetData>
  <conditionalFormatting sqref="F4:F15">
    <cfRule type="cellIs" priority="1" operator="lessThan" dxfId="1">
      <formula>$I4</formula>
    </cfRule>
  </conditionalFormatting>
  <conditionalFormatting sqref="K4:K15">
    <cfRule type="dataBar" priority="2">
      <dataBar>
        <cfvo type="min"/>
        <cfvo type="max"/>
        <color rgb="00638EC6"/>
      </dataBar>
    </cfRule>
  </conditionalFormatting>
  <pageMargins left="0.75" right="0.75" top="1" bottom="1" header="0.5" footer="0.5"/>
  <ignoredErrors>
    <ignoredError sqref="D4:D15" numberStoredAsText="1"/>
  </ignoredErrors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7" customWidth="1" min="1" max="1"/>
    <col width="22" customWidth="1" min="2" max="2"/>
    <col width="19" customWidth="1" min="3" max="3"/>
    <col width="50" customWidth="1" min="4" max="4"/>
    <col width="15" customWidth="1" min="5" max="5"/>
    <col width="26" customWidth="1" min="6" max="6"/>
  </cols>
  <sheetData>
    <row r="1">
      <c r="A1" s="1" t="inlineStr">
        <is>
          <t>תזרים מזומנים חודשי — 2026</t>
        </is>
      </c>
      <c r="B1" s="2" t="n"/>
      <c r="C1" s="2" t="n"/>
      <c r="D1" s="2" t="n"/>
      <c r="E1" s="2" t="n"/>
      <c r="F1" s="2" t="n"/>
    </row>
    <row r="2"/>
    <row r="3">
      <c r="A3" s="4" t="inlineStr">
        <is>
          <t>חודש</t>
        </is>
      </c>
      <c r="B3" s="4" t="inlineStr">
        <is>
          <t>תאריך סוף חודש</t>
        </is>
      </c>
      <c r="C3" s="4" t="inlineStr">
        <is>
          <t>תקבולים</t>
        </is>
      </c>
      <c r="D3" s="4" t="inlineStr">
        <is>
          <t>תשלומים</t>
        </is>
      </c>
      <c r="E3" s="4" t="inlineStr">
        <is>
          <t>תזרים נטו</t>
        </is>
      </c>
      <c r="F3" s="4" t="inlineStr">
        <is>
          <t>יתרת מזומן מצטברת</t>
        </is>
      </c>
    </row>
    <row r="4">
      <c r="A4" s="32" t="inlineStr">
        <is>
          <t>ינואר</t>
        </is>
      </c>
      <c r="B4" s="33" t="n">
        <v>46053</v>
      </c>
      <c r="C4" s="34">
        <f>'הכנסות'!B9</f>
        <v/>
      </c>
      <c r="D4" s="20">
        <f>-'הוצאות'!B13-'הכנסות'!B9*'הנחות ופרמטרים'!$B$6</f>
        <v/>
      </c>
      <c r="E4" s="21">
        <f>C4+D4</f>
        <v/>
      </c>
      <c r="F4" s="21">
        <f>285000+E4</f>
        <v/>
      </c>
    </row>
    <row r="5">
      <c r="A5" s="32" t="inlineStr">
        <is>
          <t>פברואר</t>
        </is>
      </c>
      <c r="B5" s="33" t="n">
        <v>46081</v>
      </c>
      <c r="C5" s="34">
        <f>'הכנסות'!C9</f>
        <v/>
      </c>
      <c r="D5" s="20">
        <f>-'הוצאות'!C13-'הכנסות'!C9*'הנחות ופרמטרים'!$B$6</f>
        <v/>
      </c>
      <c r="E5" s="21">
        <f>C5+D5</f>
        <v/>
      </c>
      <c r="F5" s="21">
        <f>F4+E5</f>
        <v/>
      </c>
    </row>
    <row r="6">
      <c r="A6" s="32" t="inlineStr">
        <is>
          <t>מרץ</t>
        </is>
      </c>
      <c r="B6" s="33" t="n">
        <v>46112</v>
      </c>
      <c r="C6" s="34">
        <f>'הכנסות'!D9</f>
        <v/>
      </c>
      <c r="D6" s="20">
        <f>-'הוצאות'!D13-'הכנסות'!D9*'הנחות ופרמטרים'!$B$6</f>
        <v/>
      </c>
      <c r="E6" s="21">
        <f>C6+D6</f>
        <v/>
      </c>
      <c r="F6" s="21">
        <f>F5+E6</f>
        <v/>
      </c>
    </row>
    <row r="7">
      <c r="A7" s="32" t="inlineStr">
        <is>
          <t>אפריל</t>
        </is>
      </c>
      <c r="B7" s="33" t="n">
        <v>46142</v>
      </c>
      <c r="C7" s="34">
        <f>'הכנסות'!E9</f>
        <v/>
      </c>
      <c r="D7" s="20">
        <f>-'הוצאות'!E13-'הכנסות'!E9*'הנחות ופרמטרים'!$B$6</f>
        <v/>
      </c>
      <c r="E7" s="21">
        <f>C7+D7</f>
        <v/>
      </c>
      <c r="F7" s="21">
        <f>F6+E7</f>
        <v/>
      </c>
    </row>
    <row r="8">
      <c r="A8" s="32" t="inlineStr">
        <is>
          <t>מאי</t>
        </is>
      </c>
      <c r="B8" s="33" t="n">
        <v>46173</v>
      </c>
      <c r="C8" s="34">
        <f>'הכנסות'!F9</f>
        <v/>
      </c>
      <c r="D8" s="20">
        <f>-'הוצאות'!F13-'הכנסות'!F9*'הנחות ופרמטרים'!$B$6</f>
        <v/>
      </c>
      <c r="E8" s="21">
        <f>C8+D8</f>
        <v/>
      </c>
      <c r="F8" s="21">
        <f>F7+E8</f>
        <v/>
      </c>
    </row>
    <row r="9">
      <c r="A9" s="32" t="inlineStr">
        <is>
          <t>יוני</t>
        </is>
      </c>
      <c r="B9" s="33" t="n">
        <v>46203</v>
      </c>
      <c r="C9" s="34">
        <f>'הכנסות'!G9</f>
        <v/>
      </c>
      <c r="D9" s="20">
        <f>-'הוצאות'!G13-'הכנסות'!G9*'הנחות ופרמטרים'!$B$6</f>
        <v/>
      </c>
      <c r="E9" s="21">
        <f>C9+D9</f>
        <v/>
      </c>
      <c r="F9" s="21">
        <f>F8+E9</f>
        <v/>
      </c>
    </row>
    <row r="10">
      <c r="A10" s="32" t="inlineStr">
        <is>
          <t>יולי</t>
        </is>
      </c>
      <c r="B10" s="33" t="n">
        <v>46234</v>
      </c>
      <c r="C10" s="34">
        <f>'הכנסות'!H9</f>
        <v/>
      </c>
      <c r="D10" s="20">
        <f>-'הוצאות'!H13-'הכנסות'!H9*'הנחות ופרמטרים'!$B$6</f>
        <v/>
      </c>
      <c r="E10" s="21">
        <f>C10+D10</f>
        <v/>
      </c>
      <c r="F10" s="21">
        <f>F9+E10</f>
        <v/>
      </c>
    </row>
    <row r="11">
      <c r="A11" s="32" t="inlineStr">
        <is>
          <t>אוגוסט</t>
        </is>
      </c>
      <c r="B11" s="33" t="n">
        <v>46265</v>
      </c>
      <c r="C11" s="34">
        <f>'הכנסות'!I9</f>
        <v/>
      </c>
      <c r="D11" s="20">
        <f>-'הוצאות'!I13-'הכנסות'!I9*'הנחות ופרמטרים'!$B$6</f>
        <v/>
      </c>
      <c r="E11" s="21">
        <f>C11+D11</f>
        <v/>
      </c>
      <c r="F11" s="21">
        <f>F10+E11</f>
        <v/>
      </c>
    </row>
    <row r="12">
      <c r="A12" s="32" t="inlineStr">
        <is>
          <t>ספטמבר</t>
        </is>
      </c>
      <c r="B12" s="33" t="n">
        <v>46295</v>
      </c>
      <c r="C12" s="34">
        <f>'הכנסות'!J9</f>
        <v/>
      </c>
      <c r="D12" s="20">
        <f>-'הוצאות'!J13-'הכנסות'!J9*'הנחות ופרמטרים'!$B$6</f>
        <v/>
      </c>
      <c r="E12" s="21">
        <f>C12+D12</f>
        <v/>
      </c>
      <c r="F12" s="21">
        <f>F11+E12</f>
        <v/>
      </c>
    </row>
    <row r="13">
      <c r="A13" s="32" t="inlineStr">
        <is>
          <t>אוקטובר</t>
        </is>
      </c>
      <c r="B13" s="33" t="n">
        <v>46326</v>
      </c>
      <c r="C13" s="34">
        <f>'הכנסות'!K9</f>
        <v/>
      </c>
      <c r="D13" s="20">
        <f>-'הוצאות'!K13-'הכנסות'!K9*'הנחות ופרמטרים'!$B$6</f>
        <v/>
      </c>
      <c r="E13" s="21">
        <f>C13+D13</f>
        <v/>
      </c>
      <c r="F13" s="21">
        <f>F12+E13</f>
        <v/>
      </c>
    </row>
    <row r="14">
      <c r="A14" s="32" t="inlineStr">
        <is>
          <t>נובמבר</t>
        </is>
      </c>
      <c r="B14" s="33" t="n">
        <v>46356</v>
      </c>
      <c r="C14" s="34">
        <f>'הכנסות'!L9</f>
        <v/>
      </c>
      <c r="D14" s="20">
        <f>-'הוצאות'!L13-'הכנסות'!L9*'הנחות ופרמטרים'!$B$6</f>
        <v/>
      </c>
      <c r="E14" s="21">
        <f>C14+D14</f>
        <v/>
      </c>
      <c r="F14" s="21">
        <f>F13+E14</f>
        <v/>
      </c>
    </row>
    <row r="15">
      <c r="A15" s="32" t="inlineStr">
        <is>
          <t>דצמבר</t>
        </is>
      </c>
      <c r="B15" s="33" t="n">
        <v>46387</v>
      </c>
      <c r="C15" s="34">
        <f>'הכנסות'!M9</f>
        <v/>
      </c>
      <c r="D15" s="20">
        <f>-'הוצאות'!M13-'הכנסות'!M9*'הנחות ופרמטרים'!$B$6</f>
        <v/>
      </c>
      <c r="E15" s="21">
        <f>C15+D15</f>
        <v/>
      </c>
      <c r="F15" s="21">
        <f>F14+E15</f>
        <v/>
      </c>
    </row>
  </sheetData>
  <conditionalFormatting sqref="F4:F15">
    <cfRule type="cellIs" priority="1" operator="lessThan" dxfId="1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2026-07-28T18:02:45Z</dcterms:created>
  <dcterms:modified xmlns:dcterms="http://purl.org/dc/terms/" xmlns:xsi="http://www.w3.org/2001/XMLSchema-instance" xsi:type="dcterms:W3CDTF">2026-07-28T18:02:45Z</dcterms:modified>
</cp:coreProperties>
</file>